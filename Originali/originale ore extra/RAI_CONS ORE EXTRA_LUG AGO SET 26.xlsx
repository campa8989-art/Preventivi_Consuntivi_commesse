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anutencoop-my.sharepoint.com/personal/icampagnoli_manutencoop_it/Documents/BM ivan/Gestione Preventivi e consuntivi/Originali/originale ore extra/"/>
    </mc:Choice>
  </mc:AlternateContent>
  <xr:revisionPtr revIDLastSave="192" documentId="13_ncr:1_{08F01893-1461-4754-8646-82242A1C99A1}" xr6:coauthVersionLast="47" xr6:coauthVersionMax="47" xr10:uidLastSave="{BEC2B1E2-F5BE-4925-B2B5-C873F8BE7879}"/>
  <bookViews>
    <workbookView xWindow="-108" yWindow="-108" windowWidth="30936" windowHeight="16776" firstSheet="6" activeTab="7" xr2:uid="{00000000-000D-0000-FFFF-FFFF00000000}"/>
  </bookViews>
  <sheets>
    <sheet name="LUGLIO 2022" sheetId="4" state="hidden" r:id="rId1"/>
    <sheet name="AGOSTO 2022 " sheetId="5" state="hidden" r:id="rId2"/>
    <sheet name="Settembre 22" sheetId="8" state="hidden" r:id="rId3"/>
    <sheet name="OTTOBRE 22" sheetId="7" state="hidden" r:id="rId4"/>
    <sheet name="NOVEMBRE 22" sheetId="9" state="hidden" r:id="rId5"/>
    <sheet name="DICEMBRE 22" sheetId="13" state="hidden" r:id="rId6"/>
    <sheet name="RIEPILOGO 3Q26" sheetId="48" r:id="rId7"/>
    <sheet name="LUG 2026 consuntivo" sheetId="45" r:id="rId8"/>
    <sheet name="AGOSTO 2023 " sheetId="32" state="hidden" r:id="rId9"/>
    <sheet name="SETTEMBRE 2023" sheetId="33" state="hidden" r:id="rId10"/>
    <sheet name="AGO 2026 consuntivo" sheetId="46" r:id="rId11"/>
    <sheet name="SET 2026 consuntivo " sheetId="49" r:id="rId12"/>
    <sheet name="OTTOBRE 2023" sheetId="34" state="hidden" r:id="rId13"/>
    <sheet name="NOVEMBRE 2023" sheetId="35" state="hidden" r:id="rId14"/>
  </sheets>
  <definedNames>
    <definedName name="_xlnm.Print_Area" localSheetId="8">'AGOSTO 2023 '!$A$1:$U$44</definedName>
    <definedName name="_xlnm.Print_Area" localSheetId="5">'DICEMBRE 22'!$A$1:$U$44</definedName>
    <definedName name="_xlnm.Print_Area" localSheetId="0">'LUGLIO 2022'!$A$1:$O$45</definedName>
    <definedName name="_xlnm.Print_Area" localSheetId="13">'NOVEMBRE 2023'!$A$1:$U$44</definedName>
    <definedName name="_xlnm.Print_Area" localSheetId="4">'NOVEMBRE 22'!$A$1:$U$47</definedName>
    <definedName name="_xlnm.Print_Area" localSheetId="12">'OTTOBRE 2023'!$A$1:$U$44</definedName>
    <definedName name="_xlnm.Print_Area" localSheetId="3">'OTTOBRE 22'!$A$1:$O$55</definedName>
    <definedName name="_xlnm.Print_Area" localSheetId="9">'SETTEMBRE 2023'!$A$1:$U$44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45" l="1"/>
  <c r="F20" i="45"/>
  <c r="B13" i="48"/>
  <c r="B14" i="48"/>
  <c r="G60" i="46"/>
  <c r="G60" i="45"/>
  <c r="G58" i="49"/>
  <c r="G30" i="49"/>
  <c r="G32" i="49"/>
  <c r="G35" i="49"/>
  <c r="G38" i="49"/>
  <c r="G40" i="49"/>
  <c r="G43" i="49"/>
  <c r="G46" i="49"/>
  <c r="G48" i="49"/>
  <c r="G51" i="49"/>
  <c r="G54" i="49"/>
  <c r="G56" i="49"/>
  <c r="F56" i="49"/>
  <c r="F55" i="49"/>
  <c r="G55" i="49" s="1"/>
  <c r="F54" i="49"/>
  <c r="F53" i="49"/>
  <c r="G53" i="49" s="1"/>
  <c r="F52" i="49"/>
  <c r="G52" i="49" s="1"/>
  <c r="F51" i="49"/>
  <c r="F50" i="49"/>
  <c r="G50" i="49" s="1"/>
  <c r="F49" i="49"/>
  <c r="G49" i="49" s="1"/>
  <c r="F48" i="49"/>
  <c r="F47" i="49"/>
  <c r="G47" i="49" s="1"/>
  <c r="F46" i="49"/>
  <c r="F45" i="49"/>
  <c r="G45" i="49" s="1"/>
  <c r="F44" i="49"/>
  <c r="G44" i="49" s="1"/>
  <c r="F43" i="49"/>
  <c r="F42" i="49"/>
  <c r="G42" i="49" s="1"/>
  <c r="F41" i="49"/>
  <c r="G41" i="49" s="1"/>
  <c r="F40" i="49"/>
  <c r="F39" i="49"/>
  <c r="G39" i="49" s="1"/>
  <c r="F38" i="49"/>
  <c r="F37" i="49"/>
  <c r="G37" i="49" s="1"/>
  <c r="F36" i="49"/>
  <c r="G36" i="49" s="1"/>
  <c r="F35" i="49"/>
  <c r="F34" i="49"/>
  <c r="G34" i="49" s="1"/>
  <c r="F33" i="49"/>
  <c r="G33" i="49" s="1"/>
  <c r="F32" i="49"/>
  <c r="F31" i="49"/>
  <c r="G31" i="49" s="1"/>
  <c r="F30" i="49"/>
  <c r="F29" i="49"/>
  <c r="G29" i="49" s="1"/>
  <c r="G59" i="49" s="1"/>
  <c r="G62" i="49" s="1"/>
  <c r="F58" i="49"/>
  <c r="F30" i="46"/>
  <c r="G30" i="46" s="1"/>
  <c r="F31" i="46"/>
  <c r="G31" i="46"/>
  <c r="F32" i="46"/>
  <c r="G32" i="46"/>
  <c r="F33" i="46"/>
  <c r="G33" i="46"/>
  <c r="F34" i="46"/>
  <c r="G34" i="46" s="1"/>
  <c r="F35" i="46"/>
  <c r="G35" i="46"/>
  <c r="F36" i="46"/>
  <c r="G36" i="46"/>
  <c r="F37" i="46"/>
  <c r="G37" i="46"/>
  <c r="F38" i="46"/>
  <c r="G38" i="46" s="1"/>
  <c r="F39" i="46"/>
  <c r="G39" i="46"/>
  <c r="F40" i="46"/>
  <c r="G40" i="46"/>
  <c r="F41" i="46"/>
  <c r="G41" i="46"/>
  <c r="F42" i="46"/>
  <c r="G42" i="46" s="1"/>
  <c r="F43" i="46"/>
  <c r="G43" i="46"/>
  <c r="F44" i="46"/>
  <c r="G44" i="46"/>
  <c r="F45" i="46"/>
  <c r="G45" i="46"/>
  <c r="F46" i="46"/>
  <c r="G46" i="46" s="1"/>
  <c r="F47" i="46"/>
  <c r="G47" i="46"/>
  <c r="F48" i="46"/>
  <c r="G48" i="46"/>
  <c r="F49" i="46"/>
  <c r="G49" i="46"/>
  <c r="F50" i="46"/>
  <c r="G50" i="46" s="1"/>
  <c r="F51" i="46"/>
  <c r="G51" i="46"/>
  <c r="F52" i="46"/>
  <c r="G52" i="46"/>
  <c r="F53" i="46"/>
  <c r="G53" i="46"/>
  <c r="F54" i="46"/>
  <c r="G54" i="46" s="1"/>
  <c r="F55" i="46"/>
  <c r="G55" i="46"/>
  <c r="F56" i="46"/>
  <c r="G56" i="46"/>
  <c r="F57" i="46"/>
  <c r="G57" i="46"/>
  <c r="F58" i="46"/>
  <c r="G58" i="46" s="1"/>
  <c r="F59" i="46"/>
  <c r="G59" i="46"/>
  <c r="F29" i="46"/>
  <c r="G29" i="46" s="1"/>
  <c r="G38" i="45"/>
  <c r="G39" i="45"/>
  <c r="G46" i="45"/>
  <c r="G47" i="45"/>
  <c r="G54" i="45"/>
  <c r="G55" i="45"/>
  <c r="F34" i="45"/>
  <c r="G34" i="45" s="1"/>
  <c r="F35" i="45"/>
  <c r="G35" i="45" s="1"/>
  <c r="F36" i="45"/>
  <c r="G36" i="45" s="1"/>
  <c r="F37" i="45"/>
  <c r="G37" i="45" s="1"/>
  <c r="F38" i="45"/>
  <c r="F39" i="45"/>
  <c r="F40" i="45"/>
  <c r="G40" i="45" s="1"/>
  <c r="F41" i="45"/>
  <c r="G41" i="45" s="1"/>
  <c r="F42" i="45"/>
  <c r="G42" i="45" s="1"/>
  <c r="F43" i="45"/>
  <c r="G43" i="45" s="1"/>
  <c r="F44" i="45"/>
  <c r="G44" i="45" s="1"/>
  <c r="F45" i="45"/>
  <c r="G45" i="45" s="1"/>
  <c r="F46" i="45"/>
  <c r="F47" i="45"/>
  <c r="F48" i="45"/>
  <c r="G48" i="45" s="1"/>
  <c r="F49" i="45"/>
  <c r="G49" i="45" s="1"/>
  <c r="F50" i="45"/>
  <c r="G50" i="45" s="1"/>
  <c r="F51" i="45"/>
  <c r="G51" i="45" s="1"/>
  <c r="F52" i="45"/>
  <c r="G52" i="45" s="1"/>
  <c r="F53" i="45"/>
  <c r="G53" i="45" s="1"/>
  <c r="F54" i="45"/>
  <c r="F55" i="45"/>
  <c r="F56" i="45"/>
  <c r="G56" i="45" s="1"/>
  <c r="F57" i="45"/>
  <c r="G57" i="45" s="1"/>
  <c r="F58" i="45"/>
  <c r="G58" i="45" s="1"/>
  <c r="F59" i="45"/>
  <c r="G59" i="45" s="1"/>
  <c r="F33" i="45"/>
  <c r="G33" i="45" s="1"/>
  <c r="F57" i="49"/>
  <c r="G57" i="49" s="1"/>
  <c r="F31" i="45" l="1"/>
  <c r="G31" i="45" s="1"/>
  <c r="F32" i="45"/>
  <c r="G32" i="45" s="1"/>
  <c r="F30" i="45" l="1"/>
  <c r="G30" i="45" s="1"/>
  <c r="F21" i="49"/>
  <c r="D21" i="49"/>
  <c r="F20" i="49"/>
  <c r="D20" i="49"/>
  <c r="F19" i="49"/>
  <c r="D19" i="49"/>
  <c r="B13" i="49"/>
  <c r="B14" i="49" s="1"/>
  <c r="B11" i="49"/>
  <c r="G20" i="49" l="1"/>
  <c r="G21" i="49"/>
  <c r="G19" i="49"/>
  <c r="D22" i="49"/>
  <c r="F21" i="46"/>
  <c r="D21" i="46"/>
  <c r="F20" i="46"/>
  <c r="D20" i="46"/>
  <c r="F19" i="46"/>
  <c r="D19" i="46"/>
  <c r="B13" i="46"/>
  <c r="B14" i="46" s="1"/>
  <c r="B11" i="46"/>
  <c r="G22" i="49" l="1"/>
  <c r="G20" i="46"/>
  <c r="G19" i="46"/>
  <c r="G21" i="46"/>
  <c r="D22" i="46"/>
  <c r="B11" i="48"/>
  <c r="F29" i="45"/>
  <c r="G29" i="45" s="1"/>
  <c r="F21" i="45"/>
  <c r="D21" i="45"/>
  <c r="D20" i="45"/>
  <c r="D19" i="45"/>
  <c r="B13" i="45"/>
  <c r="B14" i="45" s="1"/>
  <c r="B11" i="45"/>
  <c r="G22" i="46" l="1"/>
  <c r="G63" i="46" s="1"/>
  <c r="G21" i="48" s="1"/>
  <c r="G20" i="45"/>
  <c r="G22" i="48"/>
  <c r="G19" i="45"/>
  <c r="G21" i="45"/>
  <c r="D22" i="45"/>
  <c r="G22" i="45" l="1"/>
  <c r="G63" i="45" s="1"/>
  <c r="B54" i="35"/>
  <c r="H52" i="35" s="1"/>
  <c r="E42" i="35"/>
  <c r="H42" i="35"/>
  <c r="K42" i="35"/>
  <c r="K52" i="35" s="1"/>
  <c r="N42" i="35"/>
  <c r="N52" i="35" s="1"/>
  <c r="Q42" i="35"/>
  <c r="B53" i="35" s="1"/>
  <c r="T42" i="35"/>
  <c r="T52" i="35" s="1"/>
  <c r="T51" i="35"/>
  <c r="Q51" i="35"/>
  <c r="N51" i="35"/>
  <c r="K51" i="35"/>
  <c r="H51" i="35"/>
  <c r="E51" i="35"/>
  <c r="T50" i="35"/>
  <c r="Q50" i="35"/>
  <c r="N50" i="35"/>
  <c r="K50" i="35"/>
  <c r="H50" i="35"/>
  <c r="E50" i="35"/>
  <c r="T49" i="35"/>
  <c r="Q49" i="35"/>
  <c r="N49" i="35"/>
  <c r="K49" i="35"/>
  <c r="H49" i="35"/>
  <c r="E49" i="35"/>
  <c r="T46" i="35"/>
  <c r="Q46" i="35"/>
  <c r="N46" i="35"/>
  <c r="N48" i="35" s="1"/>
  <c r="K46" i="35"/>
  <c r="K48" i="35"/>
  <c r="H46" i="35"/>
  <c r="H48" i="35" s="1"/>
  <c r="E46" i="35"/>
  <c r="E48" i="35" s="1"/>
  <c r="T47" i="35"/>
  <c r="Q47" i="35"/>
  <c r="N47" i="35"/>
  <c r="K47" i="35"/>
  <c r="H47" i="35"/>
  <c r="E47" i="35"/>
  <c r="B54" i="34"/>
  <c r="N52" i="34" s="1"/>
  <c r="E42" i="34"/>
  <c r="H42" i="34"/>
  <c r="H52" i="34" s="1"/>
  <c r="K42" i="34"/>
  <c r="N42" i="34"/>
  <c r="Q42" i="34"/>
  <c r="Q52" i="34" s="1"/>
  <c r="T42" i="34"/>
  <c r="T48" i="34" s="1"/>
  <c r="B53" i="34"/>
  <c r="T52" i="34"/>
  <c r="T51" i="34"/>
  <c r="Q51" i="34"/>
  <c r="N51" i="34"/>
  <c r="K51" i="34"/>
  <c r="H51" i="34"/>
  <c r="E51" i="34"/>
  <c r="T50" i="34"/>
  <c r="Q50" i="34"/>
  <c r="N50" i="34"/>
  <c r="K50" i="34"/>
  <c r="H50" i="34"/>
  <c r="E50" i="34"/>
  <c r="T49" i="34"/>
  <c r="Q49" i="34"/>
  <c r="N49" i="34"/>
  <c r="K49" i="34"/>
  <c r="H49" i="34"/>
  <c r="E49" i="34"/>
  <c r="T46" i="34"/>
  <c r="Q46" i="34"/>
  <c r="Q48" i="34" s="1"/>
  <c r="N46" i="34"/>
  <c r="N48" i="34"/>
  <c r="K46" i="34"/>
  <c r="K48" i="34"/>
  <c r="H46" i="34"/>
  <c r="H48" i="34" s="1"/>
  <c r="E46" i="34"/>
  <c r="E48" i="34" s="1"/>
  <c r="T47" i="34"/>
  <c r="Q47" i="34"/>
  <c r="N47" i="34"/>
  <c r="K47" i="34"/>
  <c r="H47" i="34"/>
  <c r="E47" i="34"/>
  <c r="B54" i="33"/>
  <c r="K52" i="33" s="1"/>
  <c r="E42" i="33"/>
  <c r="H42" i="33"/>
  <c r="B53" i="33" s="1"/>
  <c r="K42" i="33"/>
  <c r="N42" i="33"/>
  <c r="N52" i="33" s="1"/>
  <c r="Q42" i="33"/>
  <c r="Q52" i="33" s="1"/>
  <c r="T42" i="33"/>
  <c r="T52" i="33" s="1"/>
  <c r="H52" i="33"/>
  <c r="E52" i="33"/>
  <c r="T51" i="33"/>
  <c r="Q51" i="33"/>
  <c r="N51" i="33"/>
  <c r="K51" i="33"/>
  <c r="H51" i="33"/>
  <c r="E51" i="33"/>
  <c r="T50" i="33"/>
  <c r="Q50" i="33"/>
  <c r="N50" i="33"/>
  <c r="K50" i="33"/>
  <c r="H50" i="33"/>
  <c r="E50" i="33"/>
  <c r="T49" i="33"/>
  <c r="Q49" i="33"/>
  <c r="N49" i="33"/>
  <c r="K49" i="33"/>
  <c r="H49" i="33"/>
  <c r="E49" i="33"/>
  <c r="T46" i="33"/>
  <c r="Q46" i="33"/>
  <c r="N46" i="33"/>
  <c r="N48" i="33"/>
  <c r="K46" i="33"/>
  <c r="K48" i="33" s="1"/>
  <c r="H46" i="33"/>
  <c r="H48" i="33" s="1"/>
  <c r="E46" i="33"/>
  <c r="E48" i="33" s="1"/>
  <c r="T47" i="33"/>
  <c r="Q47" i="33"/>
  <c r="N47" i="33"/>
  <c r="K47" i="33"/>
  <c r="H47" i="33"/>
  <c r="E47" i="33"/>
  <c r="B54" i="32"/>
  <c r="T51" i="32"/>
  <c r="Q51" i="32"/>
  <c r="N51" i="32"/>
  <c r="K51" i="32"/>
  <c r="H51" i="32"/>
  <c r="E51" i="32"/>
  <c r="T50" i="32"/>
  <c r="Q50" i="32"/>
  <c r="N50" i="32"/>
  <c r="K50" i="32"/>
  <c r="H50" i="32"/>
  <c r="E50" i="32"/>
  <c r="T49" i="32"/>
  <c r="Q49" i="32"/>
  <c r="N49" i="32"/>
  <c r="K49" i="32"/>
  <c r="H49" i="32"/>
  <c r="E49" i="32"/>
  <c r="T47" i="32"/>
  <c r="Q47" i="32"/>
  <c r="N47" i="32"/>
  <c r="K47" i="32"/>
  <c r="H47" i="32"/>
  <c r="E47" i="32"/>
  <c r="T46" i="32"/>
  <c r="T48" i="32" s="1"/>
  <c r="Q46" i="32"/>
  <c r="Q48" i="32" s="1"/>
  <c r="N46" i="32"/>
  <c r="K46" i="32"/>
  <c r="K48" i="32" s="1"/>
  <c r="H46" i="32"/>
  <c r="E46" i="32"/>
  <c r="T42" i="32"/>
  <c r="Q42" i="32"/>
  <c r="N42" i="32"/>
  <c r="N48" i="32" s="1"/>
  <c r="N52" i="32"/>
  <c r="K42" i="32"/>
  <c r="K52" i="32" s="1"/>
  <c r="H42" i="32"/>
  <c r="H52" i="32"/>
  <c r="E42" i="32"/>
  <c r="B53" i="32"/>
  <c r="Q52" i="32"/>
  <c r="E47" i="13"/>
  <c r="B54" i="13"/>
  <c r="T51" i="13"/>
  <c r="Q51" i="13"/>
  <c r="N51" i="13"/>
  <c r="K51" i="13"/>
  <c r="H51" i="13"/>
  <c r="E51" i="13"/>
  <c r="T50" i="13"/>
  <c r="Q50" i="13"/>
  <c r="N50" i="13"/>
  <c r="K50" i="13"/>
  <c r="H50" i="13"/>
  <c r="E50" i="13"/>
  <c r="T49" i="13"/>
  <c r="Q49" i="13"/>
  <c r="N49" i="13"/>
  <c r="K49" i="13"/>
  <c r="H49" i="13"/>
  <c r="E49" i="13"/>
  <c r="T47" i="13"/>
  <c r="Q47" i="13"/>
  <c r="N47" i="13"/>
  <c r="K47" i="13"/>
  <c r="H47" i="13"/>
  <c r="T46" i="13"/>
  <c r="Q46" i="13"/>
  <c r="N46" i="13"/>
  <c r="K46" i="13"/>
  <c r="H46" i="13"/>
  <c r="E46" i="13"/>
  <c r="E48" i="13" s="1"/>
  <c r="T42" i="13"/>
  <c r="T52" i="13" s="1"/>
  <c r="Q42" i="13"/>
  <c r="Q52" i="13" s="1"/>
  <c r="N42" i="13"/>
  <c r="N52" i="13"/>
  <c r="K42" i="13"/>
  <c r="K52" i="13" s="1"/>
  <c r="H42" i="13"/>
  <c r="H48" i="13" s="1"/>
  <c r="H52" i="13"/>
  <c r="E42" i="13"/>
  <c r="B53" i="13" s="1"/>
  <c r="E52" i="13"/>
  <c r="K48" i="13"/>
  <c r="N48" i="13"/>
  <c r="Q48" i="13"/>
  <c r="H46" i="9"/>
  <c r="E46" i="9"/>
  <c r="T46" i="9"/>
  <c r="Q46" i="9"/>
  <c r="N46" i="9"/>
  <c r="K46" i="9"/>
  <c r="E42" i="9"/>
  <c r="E45" i="9" s="1"/>
  <c r="E43" i="9"/>
  <c r="E44" i="9"/>
  <c r="T44" i="9"/>
  <c r="Q44" i="9"/>
  <c r="N44" i="9"/>
  <c r="K44" i="9"/>
  <c r="H44" i="9"/>
  <c r="T43" i="9"/>
  <c r="T45" i="9" s="1"/>
  <c r="Q43" i="9"/>
  <c r="N43" i="9"/>
  <c r="K43" i="9"/>
  <c r="H43" i="9"/>
  <c r="T42" i="9"/>
  <c r="Q42" i="9"/>
  <c r="Q45" i="9" s="1"/>
  <c r="N42" i="9"/>
  <c r="N45" i="9" s="1"/>
  <c r="K42" i="9"/>
  <c r="K45" i="9" s="1"/>
  <c r="H42" i="9"/>
  <c r="N42" i="7"/>
  <c r="N43" i="7"/>
  <c r="L43" i="7"/>
  <c r="L42" i="7"/>
  <c r="D42" i="7"/>
  <c r="F42" i="7"/>
  <c r="F45" i="7" s="1"/>
  <c r="N44" i="7"/>
  <c r="L44" i="7"/>
  <c r="J44" i="7"/>
  <c r="J43" i="7"/>
  <c r="H44" i="7"/>
  <c r="H43" i="7"/>
  <c r="F44" i="7"/>
  <c r="F43" i="7"/>
  <c r="D44" i="7"/>
  <c r="D45" i="7" s="1"/>
  <c r="D43" i="7"/>
  <c r="J41" i="8"/>
  <c r="L42" i="8"/>
  <c r="N43" i="8"/>
  <c r="N42" i="8"/>
  <c r="L43" i="8"/>
  <c r="J43" i="8"/>
  <c r="J42" i="8"/>
  <c r="J44" i="8" s="1"/>
  <c r="H43" i="8"/>
  <c r="H42" i="8"/>
  <c r="F43" i="8"/>
  <c r="F42" i="8"/>
  <c r="D43" i="8"/>
  <c r="D42" i="8"/>
  <c r="J42" i="7"/>
  <c r="J45" i="7"/>
  <c r="H42" i="7"/>
  <c r="H45" i="7"/>
  <c r="D57" i="8"/>
  <c r="Q57" i="8" s="1"/>
  <c r="F57" i="8"/>
  <c r="H57" i="8"/>
  <c r="J57" i="8"/>
  <c r="L57" i="8"/>
  <c r="N57" i="8"/>
  <c r="Q55" i="8"/>
  <c r="Q53" i="8"/>
  <c r="Q51" i="8"/>
  <c r="Q49" i="8"/>
  <c r="N41" i="8"/>
  <c r="N44" i="8"/>
  <c r="L41" i="8"/>
  <c r="L44" i="8" s="1"/>
  <c r="H41" i="8"/>
  <c r="H44" i="8" s="1"/>
  <c r="F41" i="8"/>
  <c r="F44" i="8"/>
  <c r="D41" i="8"/>
  <c r="D44" i="8"/>
  <c r="N58" i="5"/>
  <c r="Q58" i="5" s="1"/>
  <c r="L58" i="5"/>
  <c r="J58" i="5"/>
  <c r="H58" i="5"/>
  <c r="F58" i="5"/>
  <c r="D58" i="5"/>
  <c r="Q56" i="5"/>
  <c r="Q54" i="5"/>
  <c r="Q52" i="5"/>
  <c r="Q50" i="5"/>
  <c r="N42" i="5"/>
  <c r="L42" i="5"/>
  <c r="J42" i="5"/>
  <c r="H42" i="5"/>
  <c r="F42" i="5"/>
  <c r="D42" i="5"/>
  <c r="N58" i="4"/>
  <c r="Q58" i="4" s="1"/>
  <c r="L58" i="4"/>
  <c r="J58" i="4"/>
  <c r="H58" i="4"/>
  <c r="F58" i="4"/>
  <c r="D58" i="4"/>
  <c r="Q56" i="4"/>
  <c r="Q54" i="4"/>
  <c r="Q52" i="4"/>
  <c r="Q50" i="4"/>
  <c r="L45" i="7"/>
  <c r="N45" i="7"/>
  <c r="H45" i="9"/>
  <c r="T52" i="32"/>
  <c r="H48" i="32"/>
  <c r="E52" i="32"/>
  <c r="E48" i="32"/>
  <c r="G20" i="48" l="1"/>
  <c r="G24" i="48" s="1"/>
  <c r="Q48" i="33"/>
  <c r="E52" i="34"/>
  <c r="E52" i="35"/>
  <c r="Q48" i="35"/>
  <c r="Q52" i="35"/>
  <c r="T48" i="33"/>
  <c r="K52" i="34"/>
  <c r="T48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tc={00342E0E-97E9-4746-9626-6D73E7308B64}</author>
  </authors>
  <commentList>
    <comment ref="K29" authorId="0" shapeId="0" xr:uid="{00000000-0006-0000-0300-00000100000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Corso formazione</t>
      </text>
    </comment>
  </commentList>
</comments>
</file>

<file path=xl/sharedStrings.xml><?xml version="1.0" encoding="utf-8"?>
<sst xmlns="http://schemas.openxmlformats.org/spreadsheetml/2006/main" count="3107" uniqueCount="151">
  <si>
    <t>RAI - MILANO SEMPIONE - SERVIZIO PRESIDIO "ESERCIZIO IMP. ELETTRICI" H24  365/365 gg.</t>
  </si>
  <si>
    <t>FACI16442C-MAMIUMC-019</t>
  </si>
  <si>
    <t>SERVIZIO 24h - 7/7</t>
  </si>
  <si>
    <t>LUGLIO</t>
  </si>
  <si>
    <t>OMAR</t>
  </si>
  <si>
    <t>h.</t>
  </si>
  <si>
    <t>IVAN</t>
  </si>
  <si>
    <t>MARCO</t>
  </si>
  <si>
    <t>FADY</t>
  </si>
  <si>
    <t>MASSIMILIANO</t>
  </si>
  <si>
    <t>SALVATORE</t>
  </si>
  <si>
    <t>venerdì</t>
  </si>
  <si>
    <t>riposo</t>
  </si>
  <si>
    <t>6.00  -14.00</t>
  </si>
  <si>
    <t>22.00 - 6.00</t>
  </si>
  <si>
    <t>14.00 -22.00</t>
  </si>
  <si>
    <t>8.00 -17.00</t>
  </si>
  <si>
    <t>RISORSA 1</t>
  </si>
  <si>
    <t>Campagnoli Ivan Cell. 3351234916</t>
  </si>
  <si>
    <t>sabato</t>
  </si>
  <si>
    <t xml:space="preserve">RISORSA 2 </t>
  </si>
  <si>
    <t>Cichello Omar Cell. 3382683577</t>
  </si>
  <si>
    <t>domenica</t>
  </si>
  <si>
    <t>RISORSA 3</t>
  </si>
  <si>
    <t>YOUSSEF FADY LOUTFY SANAD Cell. 3298414570</t>
  </si>
  <si>
    <t>lunedì</t>
  </si>
  <si>
    <t>RISORSA 4</t>
  </si>
  <si>
    <t>ORLANDINI MASSIMILIANO ANDREA Cell. 3755474010</t>
  </si>
  <si>
    <t>martedì</t>
  </si>
  <si>
    <t>RISORSA 5</t>
  </si>
  <si>
    <t>BERTOLI MARCO  Cell.3703676128</t>
  </si>
  <si>
    <t>mercoledì</t>
  </si>
  <si>
    <t>FERIE</t>
  </si>
  <si>
    <t>RISORSA 6</t>
  </si>
  <si>
    <t>URSINO SALVATORE Cell. 3341158111</t>
  </si>
  <si>
    <t>giovedì</t>
  </si>
  <si>
    <t>22,00-6,00</t>
  </si>
  <si>
    <t>8,00-17,00</t>
  </si>
  <si>
    <t>6,00-14,00</t>
  </si>
  <si>
    <t>14,00-22,00</t>
  </si>
  <si>
    <t>M</t>
  </si>
  <si>
    <t>MANUTENZIONE</t>
  </si>
  <si>
    <t>ESERCIZIO</t>
  </si>
  <si>
    <t>ORE AGGIUNTIVE</t>
  </si>
  <si>
    <t>RIPOSI/FERIE</t>
  </si>
  <si>
    <t>AGOSTO</t>
  </si>
  <si>
    <t>22.00 - 6.00 - 14.00</t>
  </si>
  <si>
    <t>FESTIVO</t>
  </si>
  <si>
    <t>Servizio h24 7/7</t>
  </si>
  <si>
    <t>12.00 -22.00</t>
  </si>
  <si>
    <t>6.00  -11.00</t>
  </si>
  <si>
    <t>23.00 - 6.00</t>
  </si>
  <si>
    <t>14.00 -23.00</t>
  </si>
  <si>
    <t>21.00 -06.00</t>
  </si>
  <si>
    <t>,</t>
  </si>
  <si>
    <t>RIPOSO</t>
  </si>
  <si>
    <t>LAVORATE</t>
  </si>
  <si>
    <t>OTTOBRE</t>
  </si>
  <si>
    <t>9.00 -18.00</t>
  </si>
  <si>
    <t>22.00 -06.00</t>
  </si>
  <si>
    <t>Dipendente</t>
  </si>
  <si>
    <t>CORSO</t>
  </si>
  <si>
    <t>DATA</t>
  </si>
  <si>
    <t>SEDE</t>
  </si>
  <si>
    <t>BERTOLI MARCO</t>
  </si>
  <si>
    <t>CABINE MT-BT (MEDIA-BASSATENSIONE)</t>
  </si>
  <si>
    <t>28/10/2022 dalle 9 alle 18</t>
  </si>
  <si>
    <t>Videoconferenza</t>
  </si>
  <si>
    <t>CAMPAGNOLI IVAN LUCA</t>
  </si>
  <si>
    <t>MANOVRA EMERGENZA ASCENSORI</t>
  </si>
  <si>
    <t>19/10/2022 dalle 9 alle 13</t>
  </si>
  <si>
    <t>CICHELLO OMAR</t>
  </si>
  <si>
    <t>MONTAGGIO SMONTAGGIO USO DEL TRABATTELLO</t>
  </si>
  <si>
    <t xml:space="preserve">17/10/2022 dalle 9 alle 18 </t>
  </si>
  <si>
    <t>MILANO -ABF - Via Olmo, 10 – 20063 Cernusco sul Naviglio (MI)</t>
  </si>
  <si>
    <t>URSINO SALVATORE</t>
  </si>
  <si>
    <t>21/10/2022 dalle 9 alle 18</t>
  </si>
  <si>
    <t>YOUSSEF FADY LOUTFY SANAD</t>
  </si>
  <si>
    <t xml:space="preserve">18/10/2022 dalle 9 alle 18 </t>
  </si>
  <si>
    <t xml:space="preserve">ORLANDINI MASSIMILIANO ANDREA </t>
  </si>
  <si>
    <t>Rischio Alto</t>
  </si>
  <si>
    <t>19/10/2022 dalle 9 alle 18</t>
  </si>
  <si>
    <t xml:space="preserve"> Rischio Alto</t>
  </si>
  <si>
    <t>20/10/2022 dalle 9 alle 13</t>
  </si>
  <si>
    <t>NOVEMBRE</t>
  </si>
  <si>
    <t>REP</t>
  </si>
  <si>
    <t>R</t>
  </si>
  <si>
    <t xml:space="preserve">R </t>
  </si>
  <si>
    <t>REPERIBILITA</t>
  </si>
  <si>
    <t>DICEMBRE</t>
  </si>
  <si>
    <t>14:00 -22:00</t>
  </si>
  <si>
    <t>6:00  -14:00</t>
  </si>
  <si>
    <t>22:00 - 6:00</t>
  </si>
  <si>
    <t>8:00 -17:00</t>
  </si>
  <si>
    <t>MALATTIA</t>
  </si>
  <si>
    <t>OPERAI RAI cartellini ore 2022.xlsx</t>
  </si>
  <si>
    <t>ROL</t>
  </si>
  <si>
    <t>ORE</t>
  </si>
  <si>
    <t>Notti</t>
  </si>
  <si>
    <t>Malattia</t>
  </si>
  <si>
    <t>Diff. Ore Mse</t>
  </si>
  <si>
    <t>QUOTAZIONE TARIFFA ORARIA OPERE IN ECONOMIA DA SCHEMA CONTRATTO</t>
  </si>
  <si>
    <t>costo orario base dichiarato in sede di verifica congruità</t>
  </si>
  <si>
    <t>costo orario con maggiorazione</t>
  </si>
  <si>
    <t>ricarico per spese generali e utili (da schema contratto RAI per prestazioni in economia)</t>
  </si>
  <si>
    <t>spese generali e utili</t>
  </si>
  <si>
    <t>sconto su listini</t>
  </si>
  <si>
    <t>spese generali e utili ribassati</t>
  </si>
  <si>
    <t>tariffa applicazione</t>
  </si>
  <si>
    <t>APRILE MAGGIO GIUGNO 2025</t>
  </si>
  <si>
    <t>Integrazione Servizio Esercizio Richiesto dalle 0,30 alle 8,30 - NOTTURNO dalle 22,00 alle 6,00 e</t>
  </si>
  <si>
    <t xml:space="preserve">Ore aggiuntive seconda risorsa riconosciute a consuntivo dal Cliente sulla base dei consuntivi mensili </t>
  </si>
  <si>
    <t>CONSUNTIVO MENSILE</t>
  </si>
  <si>
    <t>TOTALE</t>
  </si>
  <si>
    <t>SETTEMBRE</t>
  </si>
  <si>
    <t>TOTALE GENERALE</t>
  </si>
  <si>
    <t>+IVA</t>
  </si>
  <si>
    <t xml:space="preserve"> </t>
  </si>
  <si>
    <t>LUGLIO 2026</t>
  </si>
  <si>
    <t xml:space="preserve">Integrazione Servizio Esercizio Richiesto dalle 0,30 alle 8,30 - NOTTURNO dalle 22,00 alle 6,00 </t>
  </si>
  <si>
    <t>RICAVI</t>
  </si>
  <si>
    <t>ORE/gg</t>
  </si>
  <si>
    <t>Giorni</t>
  </si>
  <si>
    <t>TOT</t>
  </si>
  <si>
    <t>Maggiorazione  tariffa</t>
  </si>
  <si>
    <t xml:space="preserve">Tariffa oraria </t>
  </si>
  <si>
    <t xml:space="preserve">DATA </t>
  </si>
  <si>
    <t>ORE FERIALI DIURNE AD INTEGRAZIONE (06:00-08:30) - integrazione ctr del 14/07/21</t>
  </si>
  <si>
    <t>1/2/3/4/5/7/8/9/10/11/12/14/15/16/17/18/19/21/22/23/24/25/26/28/29/30/31</t>
  </si>
  <si>
    <t>Sovrapprezzo per lavoro notturno - ORE NOTTURNE FERIALI(00:30-06:00) - integrazione ctr del 14/07/21</t>
  </si>
  <si>
    <t>Sovrapprezzo per lavoro festivo - ORE FESTIVE - integrazione ctr del 14/07/21</t>
  </si>
  <si>
    <t>6/13/20/27</t>
  </si>
  <si>
    <t>Giorno</t>
  </si>
  <si>
    <t>ORE NORMALI FERIALE</t>
  </si>
  <si>
    <t>diurno</t>
  </si>
  <si>
    <t>vd contratto</t>
  </si>
  <si>
    <t>RAI - MILANO SEMPIONE - SERVIZIO PRESIDIO "ESERCIZIO IMP: ELETTRICI" H24  365/365 gg:</t>
  </si>
  <si>
    <t>OMAR    CICHELLO</t>
  </si>
  <si>
    <t>h</t>
  </si>
  <si>
    <t>IVAN CAMPAGNOLI</t>
  </si>
  <si>
    <t>MARCO        BERTOLI</t>
  </si>
  <si>
    <t>ANDREA GAMBINO</t>
  </si>
  <si>
    <t>SALVATORE URSINO</t>
  </si>
  <si>
    <t>YOUSSEF FADY</t>
  </si>
  <si>
    <t>AGOSTO 2026</t>
  </si>
  <si>
    <t>1/2/4/5/6/7/8/9/11/12/13/14/15/16/18/19/20/21/22/23/25/26/27/28/29/30</t>
  </si>
  <si>
    <t>1/2/4/5/6/7/8/9/11/12/13/14/15/16/18/19/20/21/22/23/25/26/27/28/29/31</t>
  </si>
  <si>
    <t>3/10/17/24/31</t>
  </si>
  <si>
    <t>SETTEMBRE 2026</t>
  </si>
  <si>
    <t>1/2/3/4/5/6/8/9/10/11/12/13/15/16/17/18/19/20/22/23/24/25/26/27/29/30</t>
  </si>
  <si>
    <t>7/14/21/28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</si>
</sst>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h:mm;@"/>
    <numFmt numFmtId="166" formatCode="#,##0.00\ &quot;€&quot;"/>
    <numFmt numFmtId="167" formatCode="&quot;€&quot;\ #,##0.00"/>
  </numFmts>
  <fonts count="4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entury Gothic"/>
      <family val="2"/>
    </font>
    <font>
      <b/>
      <sz val="20"/>
      <color theme="1"/>
      <name val="Century Gothic"/>
      <family val="2"/>
    </font>
    <font>
      <b/>
      <sz val="20"/>
      <color theme="0"/>
      <name val="Century Gothic"/>
      <family val="2"/>
    </font>
    <font>
      <sz val="20"/>
      <color theme="1"/>
      <name val="Calibri"/>
      <family val="2"/>
    </font>
    <font>
      <sz val="22"/>
      <color theme="1"/>
      <name val="Century Gothic"/>
      <family val="2"/>
    </font>
    <font>
      <sz val="11"/>
      <color theme="1"/>
      <name val="Century Gothic"/>
      <family val="2"/>
    </font>
    <font>
      <sz val="20"/>
      <color theme="0"/>
      <name val="Century Gothic"/>
      <family val="2"/>
    </font>
    <font>
      <b/>
      <sz val="20"/>
      <color rgb="FFFF0000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22"/>
      <color theme="1"/>
      <name val="Calibri"/>
      <family val="2"/>
    </font>
    <font>
      <sz val="18"/>
      <color theme="1"/>
      <name val="Calibri"/>
      <family val="2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20"/>
      <color theme="0"/>
      <name val="Calibri"/>
      <family val="2"/>
    </font>
    <font>
      <b/>
      <u/>
      <sz val="36"/>
      <color theme="1"/>
      <name val="Ebrima"/>
    </font>
    <font>
      <b/>
      <sz val="18"/>
      <color theme="1"/>
      <name val="Century Gothic"/>
      <family val="2"/>
    </font>
    <font>
      <b/>
      <u/>
      <sz val="24"/>
      <color theme="1"/>
      <name val="Ebrima"/>
    </font>
    <font>
      <b/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0"/>
      <color theme="1"/>
      <name val="Calibri"/>
      <family val="2"/>
      <scheme val="minor"/>
    </font>
    <font>
      <sz val="20"/>
      <name val="Century Gothic"/>
      <family val="2"/>
    </font>
    <font>
      <sz val="20"/>
      <color rgb="FF363636"/>
      <name val="Segoe UI Light"/>
      <family val="2"/>
    </font>
    <font>
      <u/>
      <sz val="11"/>
      <color theme="10"/>
      <name val="Calibri"/>
      <family val="2"/>
      <scheme val="minor"/>
    </font>
    <font>
      <u/>
      <sz val="20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9" tint="-0.249977111117893"/>
      <name val="Calibri"/>
      <family val="2"/>
    </font>
    <font>
      <sz val="28"/>
      <color theme="1"/>
      <name val="Century Gothic"/>
      <family val="2"/>
    </font>
    <font>
      <sz val="28"/>
      <color theme="1"/>
      <name val="Calibri"/>
      <family val="2"/>
    </font>
    <font>
      <b/>
      <sz val="20"/>
      <name val="Calibri"/>
      <family val="2"/>
    </font>
    <font>
      <b/>
      <sz val="20"/>
      <name val="Century Gothic"/>
      <family val="2"/>
    </font>
    <font>
      <b/>
      <sz val="11"/>
      <color theme="1"/>
      <name val="Century Gothic"/>
      <family val="2"/>
    </font>
    <font>
      <b/>
      <sz val="16"/>
      <color theme="0"/>
      <name val="Century Gothic"/>
      <family val="2"/>
    </font>
    <font>
      <b/>
      <sz val="11"/>
      <color rgb="FF0070C0"/>
      <name val="Century Gothic"/>
      <family val="2"/>
    </font>
    <font>
      <b/>
      <sz val="16"/>
      <color theme="1"/>
      <name val="Century Gothic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CCCC"/>
        <bgColor rgb="FFFFCCCC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A8D08D"/>
        <bgColor rgb="FFA8D08D"/>
      </patternFill>
    </fill>
    <fill>
      <patternFill patternType="solid">
        <fgColor rgb="FFD0CECE"/>
        <bgColor rgb="FFD0CECE"/>
      </patternFill>
    </fill>
    <fill>
      <patternFill patternType="solid">
        <fgColor rgb="FF8EAADB"/>
        <bgColor rgb="FF8EAADB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0099FF"/>
        <bgColor rgb="FF0099FF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FCCCC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theme="0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rgb="FFA8D08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C000"/>
      </patternFill>
    </fill>
    <fill>
      <patternFill patternType="solid">
        <fgColor rgb="FFFFC000"/>
        <bgColor rgb="FF00B050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double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double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 style="double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ck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double">
        <color rgb="FF000000"/>
      </left>
      <right/>
      <top style="thick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/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 style="thick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double">
        <color rgb="FF000000"/>
      </top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double">
        <color rgb="FF000000"/>
      </right>
      <top style="thick">
        <color rgb="FF000000"/>
      </top>
      <bottom/>
      <diagonal/>
    </border>
    <border>
      <left style="double">
        <color rgb="FF000000"/>
      </left>
      <right style="thick">
        <color rgb="FF000000"/>
      </right>
      <top/>
      <bottom style="thick">
        <color rgb="FF000000"/>
      </bottom>
      <diagonal/>
    </border>
    <border>
      <left style="double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ck">
        <color indexed="64"/>
      </left>
      <right style="double">
        <color rgb="FF000000"/>
      </right>
      <top style="thick">
        <color indexed="64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ck">
        <color indexed="64"/>
      </top>
      <bottom style="double">
        <color rgb="FF000000"/>
      </bottom>
      <diagonal/>
    </border>
    <border>
      <left/>
      <right/>
      <top style="thick">
        <color indexed="64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double">
        <color rgb="FF000000"/>
      </left>
      <right style="thick">
        <color indexed="64"/>
      </right>
      <top style="thick">
        <color indexed="64"/>
      </top>
      <bottom style="double">
        <color rgb="FF000000"/>
      </bottom>
      <diagonal/>
    </border>
    <border>
      <left style="thick">
        <color indexed="64"/>
      </left>
      <right style="double">
        <color rgb="FF000000"/>
      </right>
      <top style="double">
        <color rgb="FF000000"/>
      </top>
      <bottom style="thick">
        <color indexed="64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double">
        <color rgb="FF000000"/>
      </left>
      <right style="double">
        <color rgb="FF000000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ck">
        <color indexed="64"/>
      </bottom>
      <diagonal/>
    </border>
    <border>
      <left style="double">
        <color rgb="FF000000"/>
      </left>
      <right style="thick">
        <color indexed="64"/>
      </right>
      <top style="double">
        <color rgb="FF000000"/>
      </top>
      <bottom style="thick">
        <color indexed="64"/>
      </bottom>
      <diagonal/>
    </border>
    <border>
      <left style="double">
        <color rgb="FF000000"/>
      </left>
      <right style="double">
        <color rgb="FF000000"/>
      </right>
      <top style="thick">
        <color indexed="64"/>
      </top>
      <bottom/>
      <diagonal/>
    </border>
    <border>
      <left style="double">
        <color rgb="FF000000"/>
      </left>
      <right style="thick">
        <color indexed="64"/>
      </right>
      <top/>
      <bottom style="thick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rgb="FF000000"/>
      </left>
      <right style="thick">
        <color rgb="FF000000"/>
      </right>
      <top/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rgb="FF000000"/>
      </left>
      <right style="thick">
        <color auto="1"/>
      </right>
      <top style="thick">
        <color auto="1"/>
      </top>
      <bottom style="thin">
        <color rgb="FF00000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rgb="FF000000"/>
      </left>
      <right/>
      <top style="thick">
        <color indexed="64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ck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ck">
        <color auto="1"/>
      </bottom>
      <diagonal/>
    </border>
    <border>
      <left/>
      <right style="double">
        <color rgb="FF000000"/>
      </right>
      <top style="thin">
        <color rgb="FF000000"/>
      </top>
      <bottom style="thick">
        <color indexed="64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uble">
        <color auto="1"/>
      </left>
      <right style="medium">
        <color indexed="64"/>
      </right>
      <top style="double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5">
    <xf numFmtId="0" fontId="0" fillId="0" borderId="0"/>
    <xf numFmtId="0" fontId="24" fillId="0" borderId="0"/>
    <xf numFmtId="0" fontId="30" fillId="0" borderId="0" applyNumberFormat="0" applyFill="0" applyBorder="0" applyAlignment="0" applyProtection="0"/>
    <xf numFmtId="0" fontId="2" fillId="0" borderId="0"/>
    <xf numFmtId="0" fontId="43" fillId="0" borderId="0"/>
  </cellStyleXfs>
  <cellXfs count="692">
    <xf numFmtId="0" fontId="0" fillId="0" borderId="0" xfId="0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3" fillId="0" borderId="0" xfId="0" applyFont="1"/>
    <xf numFmtId="0" fontId="3" fillId="2" borderId="2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5" fillId="3" borderId="2" xfId="0" applyFont="1" applyFill="1" applyBorder="1" applyAlignment="1">
      <alignment horizontal="center"/>
    </xf>
    <xf numFmtId="0" fontId="3" fillId="4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3" fillId="6" borderId="4" xfId="0" applyFont="1" applyFill="1" applyBorder="1" applyAlignment="1">
      <alignment horizontal="center" vertical="center" shrinkToFit="1"/>
    </xf>
    <xf numFmtId="0" fontId="3" fillId="7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shrinkToFit="1"/>
    </xf>
    <xf numFmtId="0" fontId="3" fillId="7" borderId="6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 vertical="center" shrinkToFit="1"/>
    </xf>
    <xf numFmtId="0" fontId="3" fillId="8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 shrinkToFit="1"/>
    </xf>
    <xf numFmtId="0" fontId="3" fillId="7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center" shrinkToFit="1"/>
    </xf>
    <xf numFmtId="0" fontId="3" fillId="4" borderId="12" xfId="0" applyFont="1" applyFill="1" applyBorder="1" applyAlignment="1">
      <alignment horizontal="center"/>
    </xf>
    <xf numFmtId="0" fontId="3" fillId="9" borderId="12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 shrinkToFit="1"/>
    </xf>
    <xf numFmtId="0" fontId="3" fillId="4" borderId="0" xfId="0" applyFont="1" applyFill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11" fillId="6" borderId="16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3" fillId="4" borderId="22" xfId="0" applyFont="1" applyFill="1" applyBorder="1" applyAlignment="1">
      <alignment horizontal="center"/>
    </xf>
    <xf numFmtId="0" fontId="3" fillId="9" borderId="23" xfId="0" applyFont="1" applyFill="1" applyBorder="1" applyAlignment="1">
      <alignment horizontal="center"/>
    </xf>
    <xf numFmtId="0" fontId="3" fillId="8" borderId="24" xfId="0" applyFont="1" applyFill="1" applyBorder="1" applyAlignment="1">
      <alignment horizontal="center"/>
    </xf>
    <xf numFmtId="0" fontId="11" fillId="6" borderId="20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 shrinkToFit="1"/>
    </xf>
    <xf numFmtId="0" fontId="3" fillId="5" borderId="26" xfId="0" applyFont="1" applyFill="1" applyBorder="1" applyAlignment="1">
      <alignment horizontal="center" vertical="center" shrinkToFit="1"/>
    </xf>
    <xf numFmtId="0" fontId="3" fillId="7" borderId="27" xfId="0" applyFont="1" applyFill="1" applyBorder="1" applyAlignment="1">
      <alignment horizontal="center"/>
    </xf>
    <xf numFmtId="0" fontId="3" fillId="8" borderId="22" xfId="0" applyFont="1" applyFill="1" applyBorder="1" applyAlignment="1">
      <alignment horizontal="center"/>
    </xf>
    <xf numFmtId="0" fontId="11" fillId="6" borderId="28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 shrinkToFit="1"/>
    </xf>
    <xf numFmtId="0" fontId="3" fillId="9" borderId="6" xfId="0" applyFont="1" applyFill="1" applyBorder="1" applyAlignment="1">
      <alignment horizontal="center"/>
    </xf>
    <xf numFmtId="2" fontId="3" fillId="7" borderId="24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3" fillId="6" borderId="29" xfId="0" applyFont="1" applyFill="1" applyBorder="1" applyAlignment="1">
      <alignment horizontal="center" vertical="center" shrinkToFit="1"/>
    </xf>
    <xf numFmtId="0" fontId="3" fillId="6" borderId="30" xfId="0" applyFont="1" applyFill="1" applyBorder="1" applyAlignment="1">
      <alignment horizontal="center" vertical="center" shrinkToFit="1"/>
    </xf>
    <xf numFmtId="0" fontId="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3" fillId="7" borderId="31" xfId="0" applyFont="1" applyFill="1" applyBorder="1" applyAlignment="1">
      <alignment horizontal="center"/>
    </xf>
    <xf numFmtId="0" fontId="3" fillId="0" borderId="30" xfId="0" applyFont="1" applyBorder="1" applyAlignment="1">
      <alignment horizontal="center" vertical="center" shrinkToFit="1"/>
    </xf>
    <xf numFmtId="0" fontId="3" fillId="7" borderId="12" xfId="0" applyFont="1" applyFill="1" applyBorder="1" applyAlignment="1">
      <alignment horizontal="center"/>
    </xf>
    <xf numFmtId="0" fontId="13" fillId="10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4" fillId="12" borderId="32" xfId="0" applyFont="1" applyFill="1" applyBorder="1"/>
    <xf numFmtId="0" fontId="13" fillId="12" borderId="24" xfId="0" applyFont="1" applyFill="1" applyBorder="1"/>
    <xf numFmtId="0" fontId="13" fillId="12" borderId="2" xfId="0" applyFont="1" applyFill="1" applyBorder="1" applyAlignment="1">
      <alignment horizontal="center" vertical="center"/>
    </xf>
    <xf numFmtId="0" fontId="15" fillId="13" borderId="32" xfId="0" applyFont="1" applyFill="1" applyBorder="1"/>
    <xf numFmtId="0" fontId="13" fillId="13" borderId="24" xfId="0" applyFont="1" applyFill="1" applyBorder="1"/>
    <xf numFmtId="0" fontId="13" fillId="13" borderId="2" xfId="0" applyFont="1" applyFill="1" applyBorder="1" applyAlignment="1">
      <alignment horizontal="center" vertical="center"/>
    </xf>
    <xf numFmtId="0" fontId="14" fillId="5" borderId="32" xfId="0" applyFont="1" applyFill="1" applyBorder="1"/>
    <xf numFmtId="0" fontId="13" fillId="5" borderId="24" xfId="0" applyFont="1" applyFill="1" applyBorder="1"/>
    <xf numFmtId="0" fontId="13" fillId="5" borderId="2" xfId="0" applyFont="1" applyFill="1" applyBorder="1" applyAlignment="1">
      <alignment horizontal="center" vertical="center"/>
    </xf>
    <xf numFmtId="0" fontId="15" fillId="3" borderId="32" xfId="0" applyFont="1" applyFill="1" applyBorder="1"/>
    <xf numFmtId="0" fontId="13" fillId="3" borderId="24" xfId="0" applyFont="1" applyFill="1" applyBorder="1"/>
    <xf numFmtId="0" fontId="13" fillId="3" borderId="2" xfId="0" applyFont="1" applyFill="1" applyBorder="1" applyAlignment="1">
      <alignment horizontal="center" vertical="center"/>
    </xf>
    <xf numFmtId="0" fontId="14" fillId="0" borderId="0" xfId="0" applyFont="1"/>
    <xf numFmtId="0" fontId="19" fillId="0" borderId="0" xfId="0" applyFont="1"/>
    <xf numFmtId="0" fontId="3" fillId="6" borderId="20" xfId="0" applyFont="1" applyFill="1" applyBorder="1" applyAlignment="1">
      <alignment horizontal="center" vertical="center" shrinkToFit="1"/>
    </xf>
    <xf numFmtId="0" fontId="3" fillId="6" borderId="3" xfId="0" applyFont="1" applyFill="1" applyBorder="1" applyAlignment="1">
      <alignment horizontal="center" vertical="center" shrinkToFit="1"/>
    </xf>
    <xf numFmtId="0" fontId="10" fillId="3" borderId="4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shrinkToFit="1"/>
    </xf>
    <xf numFmtId="0" fontId="3" fillId="9" borderId="41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 vertical="center" shrinkToFit="1"/>
    </xf>
    <xf numFmtId="0" fontId="9" fillId="3" borderId="3" xfId="0" applyFont="1" applyFill="1" applyBorder="1" applyAlignment="1">
      <alignment horizontal="center" vertical="center" shrinkToFit="1"/>
    </xf>
    <xf numFmtId="0" fontId="5" fillId="3" borderId="42" xfId="0" applyFont="1" applyFill="1" applyBorder="1" applyAlignment="1">
      <alignment horizontal="center"/>
    </xf>
    <xf numFmtId="0" fontId="3" fillId="7" borderId="44" xfId="0" applyFont="1" applyFill="1" applyBorder="1" applyAlignment="1">
      <alignment horizontal="center"/>
    </xf>
    <xf numFmtId="0" fontId="3" fillId="7" borderId="45" xfId="0" applyFont="1" applyFill="1" applyBorder="1" applyAlignment="1">
      <alignment horizontal="center"/>
    </xf>
    <xf numFmtId="0" fontId="3" fillId="7" borderId="46" xfId="0" applyFont="1" applyFill="1" applyBorder="1" applyAlignment="1">
      <alignment horizontal="center"/>
    </xf>
    <xf numFmtId="0" fontId="18" fillId="0" borderId="39" xfId="0" applyFont="1" applyBorder="1" applyAlignment="1">
      <alignment horizontal="center" vertical="center"/>
    </xf>
    <xf numFmtId="0" fontId="12" fillId="0" borderId="39" xfId="0" applyFont="1" applyBorder="1"/>
    <xf numFmtId="0" fontId="12" fillId="0" borderId="38" xfId="0" applyFont="1" applyBorder="1"/>
    <xf numFmtId="17" fontId="17" fillId="15" borderId="40" xfId="0" applyNumberFormat="1" applyFont="1" applyFill="1" applyBorder="1" applyAlignment="1">
      <alignment horizontal="center" vertical="center" wrapText="1"/>
    </xf>
    <xf numFmtId="0" fontId="12" fillId="0" borderId="40" xfId="0" applyFont="1" applyBorder="1"/>
    <xf numFmtId="0" fontId="12" fillId="0" borderId="0" xfId="0" applyFont="1"/>
    <xf numFmtId="0" fontId="12" fillId="0" borderId="35" xfId="0" applyFont="1" applyBorder="1"/>
    <xf numFmtId="17" fontId="17" fillId="15" borderId="39" xfId="0" applyNumberFormat="1" applyFont="1" applyFill="1" applyBorder="1" applyAlignment="1">
      <alignment horizontal="center" vertical="center" wrapText="1"/>
    </xf>
    <xf numFmtId="0" fontId="6" fillId="5" borderId="36" xfId="0" applyFont="1" applyFill="1" applyBorder="1" applyAlignment="1">
      <alignment horizontal="center" vertical="center"/>
    </xf>
    <xf numFmtId="0" fontId="12" fillId="0" borderId="33" xfId="0" applyFont="1" applyBorder="1"/>
    <xf numFmtId="0" fontId="13" fillId="0" borderId="16" xfId="0" applyFont="1" applyBorder="1" applyAlignment="1">
      <alignment horizontal="center" vertical="center"/>
    </xf>
    <xf numFmtId="0" fontId="12" fillId="0" borderId="3" xfId="0" applyFont="1" applyBorder="1"/>
    <xf numFmtId="0" fontId="16" fillId="3" borderId="36" xfId="0" applyFont="1" applyFill="1" applyBorder="1" applyAlignment="1">
      <alignment horizontal="center" vertical="center"/>
    </xf>
    <xf numFmtId="0" fontId="16" fillId="11" borderId="37" xfId="0" applyFont="1" applyFill="1" applyBorder="1" applyAlignment="1">
      <alignment horizontal="center" vertical="center"/>
    </xf>
    <xf numFmtId="0" fontId="12" fillId="0" borderId="34" xfId="0" applyFont="1" applyBorder="1"/>
    <xf numFmtId="0" fontId="16" fillId="13" borderId="36" xfId="0" applyFont="1" applyFill="1" applyBorder="1" applyAlignment="1">
      <alignment horizontal="center" vertical="center"/>
    </xf>
    <xf numFmtId="0" fontId="16" fillId="14" borderId="16" xfId="0" applyFont="1" applyFill="1" applyBorder="1" applyAlignment="1">
      <alignment horizontal="center" vertical="center"/>
    </xf>
    <xf numFmtId="0" fontId="16" fillId="10" borderId="36" xfId="0" applyFont="1" applyFill="1" applyBorder="1" applyAlignment="1">
      <alignment horizontal="center" vertical="center"/>
    </xf>
    <xf numFmtId="0" fontId="13" fillId="10" borderId="24" xfId="0" applyFont="1" applyFill="1" applyBorder="1" applyAlignment="1">
      <alignment horizontal="left"/>
    </xf>
    <xf numFmtId="0" fontId="12" fillId="0" borderId="32" xfId="0" applyFont="1" applyBorder="1"/>
    <xf numFmtId="0" fontId="13" fillId="11" borderId="24" xfId="0" applyFont="1" applyFill="1" applyBorder="1" applyAlignment="1">
      <alignment horizontal="left"/>
    </xf>
    <xf numFmtId="0" fontId="16" fillId="10" borderId="16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11" borderId="16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0" fillId="0" borderId="58" xfId="0" applyBorder="1"/>
    <xf numFmtId="17" fontId="6" fillId="0" borderId="0" xfId="0" applyNumberFormat="1" applyFont="1" applyAlignment="1">
      <alignment horizontal="center" vertical="center" shrinkToFit="1"/>
    </xf>
    <xf numFmtId="0" fontId="11" fillId="6" borderId="43" xfId="0" applyFont="1" applyFill="1" applyBorder="1" applyAlignment="1">
      <alignment horizontal="center" vertical="center"/>
    </xf>
    <xf numFmtId="0" fontId="11" fillId="6" borderId="51" xfId="0" applyFont="1" applyFill="1" applyBorder="1" applyAlignment="1">
      <alignment horizontal="center" vertical="center"/>
    </xf>
    <xf numFmtId="0" fontId="3" fillId="7" borderId="62" xfId="0" applyFont="1" applyFill="1" applyBorder="1" applyAlignment="1">
      <alignment horizontal="center"/>
    </xf>
    <xf numFmtId="0" fontId="10" fillId="4" borderId="63" xfId="0" applyFont="1" applyFill="1" applyBorder="1" applyAlignment="1">
      <alignment horizontal="center" vertical="center"/>
    </xf>
    <xf numFmtId="0" fontId="11" fillId="6" borderId="23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/>
    </xf>
    <xf numFmtId="0" fontId="11" fillId="6" borderId="61" xfId="0" applyFont="1" applyFill="1" applyBorder="1" applyAlignment="1">
      <alignment horizontal="center" vertical="center"/>
    </xf>
    <xf numFmtId="0" fontId="11" fillId="6" borderId="66" xfId="0" applyFont="1" applyFill="1" applyBorder="1" applyAlignment="1">
      <alignment horizontal="center" vertical="center"/>
    </xf>
    <xf numFmtId="0" fontId="11" fillId="6" borderId="55" xfId="0" applyFont="1" applyFill="1" applyBorder="1" applyAlignment="1">
      <alignment horizontal="center" vertical="center"/>
    </xf>
    <xf numFmtId="0" fontId="10" fillId="4" borderId="56" xfId="0" applyFont="1" applyFill="1" applyBorder="1" applyAlignment="1">
      <alignment horizontal="center" vertical="center"/>
    </xf>
    <xf numFmtId="0" fontId="10" fillId="3" borderId="48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67" xfId="0" applyFont="1" applyFill="1" applyBorder="1" applyAlignment="1">
      <alignment horizontal="center" vertical="center"/>
    </xf>
    <xf numFmtId="0" fontId="11" fillId="6" borderId="64" xfId="0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0" fillId="3" borderId="54" xfId="0" applyFont="1" applyFill="1" applyBorder="1" applyAlignment="1">
      <alignment horizontal="center" vertical="center"/>
    </xf>
    <xf numFmtId="0" fontId="3" fillId="6" borderId="69" xfId="0" applyFont="1" applyFill="1" applyBorder="1" applyAlignment="1">
      <alignment horizontal="center" vertical="center" shrinkToFit="1"/>
    </xf>
    <xf numFmtId="0" fontId="3" fillId="0" borderId="70" xfId="0" applyFont="1" applyBorder="1" applyAlignment="1">
      <alignment horizontal="center" vertical="center" shrinkToFit="1"/>
    </xf>
    <xf numFmtId="0" fontId="3" fillId="0" borderId="71" xfId="0" applyFont="1" applyBorder="1" applyAlignment="1">
      <alignment horizontal="center" vertical="center" shrinkToFit="1"/>
    </xf>
    <xf numFmtId="0" fontId="3" fillId="0" borderId="72" xfId="0" applyFont="1" applyBorder="1" applyAlignment="1">
      <alignment horizontal="center" vertical="center" shrinkToFit="1"/>
    </xf>
    <xf numFmtId="0" fontId="3" fillId="0" borderId="69" xfId="0" applyFont="1" applyBorder="1" applyAlignment="1">
      <alignment horizontal="center" vertical="center" shrinkToFit="1"/>
    </xf>
    <xf numFmtId="0" fontId="3" fillId="7" borderId="65" xfId="0" applyFont="1" applyFill="1" applyBorder="1" applyAlignment="1">
      <alignment horizontal="center"/>
    </xf>
    <xf numFmtId="0" fontId="3" fillId="7" borderId="74" xfId="0" applyFont="1" applyFill="1" applyBorder="1" applyAlignment="1">
      <alignment horizontal="center"/>
    </xf>
    <xf numFmtId="0" fontId="3" fillId="7" borderId="75" xfId="0" applyFont="1" applyFill="1" applyBorder="1" applyAlignment="1">
      <alignment horizontal="center"/>
    </xf>
    <xf numFmtId="0" fontId="3" fillId="7" borderId="76" xfId="0" applyFont="1" applyFill="1" applyBorder="1" applyAlignment="1">
      <alignment horizontal="center"/>
    </xf>
    <xf numFmtId="0" fontId="3" fillId="8" borderId="77" xfId="0" applyFont="1" applyFill="1" applyBorder="1" applyAlignment="1">
      <alignment horizontal="center"/>
    </xf>
    <xf numFmtId="0" fontId="3" fillId="8" borderId="78" xfId="0" applyFont="1" applyFill="1" applyBorder="1" applyAlignment="1">
      <alignment horizontal="center"/>
    </xf>
    <xf numFmtId="0" fontId="3" fillId="8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0" fontId="3" fillId="8" borderId="74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4" borderId="74" xfId="0" applyFont="1" applyFill="1" applyBorder="1" applyAlignment="1">
      <alignment horizontal="center"/>
    </xf>
    <xf numFmtId="0" fontId="3" fillId="9" borderId="76" xfId="0" applyFont="1" applyFill="1" applyBorder="1" applyAlignment="1">
      <alignment horizontal="center"/>
    </xf>
    <xf numFmtId="0" fontId="3" fillId="9" borderId="77" xfId="0" applyFont="1" applyFill="1" applyBorder="1" applyAlignment="1">
      <alignment horizontal="center"/>
    </xf>
    <xf numFmtId="0" fontId="3" fillId="9" borderId="79" xfId="0" applyFont="1" applyFill="1" applyBorder="1" applyAlignment="1">
      <alignment horizontal="center"/>
    </xf>
    <xf numFmtId="0" fontId="3" fillId="6" borderId="60" xfId="0" applyFont="1" applyFill="1" applyBorder="1" applyAlignment="1">
      <alignment horizontal="center" vertical="center" shrinkToFit="1"/>
    </xf>
    <xf numFmtId="0" fontId="3" fillId="6" borderId="0" xfId="0" applyFont="1" applyFill="1" applyAlignment="1">
      <alignment horizontal="center" vertical="center" shrinkToFit="1"/>
    </xf>
    <xf numFmtId="0" fontId="3" fillId="6" borderId="58" xfId="0" applyFont="1" applyFill="1" applyBorder="1" applyAlignment="1">
      <alignment horizontal="center" vertical="center" shrinkToFit="1"/>
    </xf>
    <xf numFmtId="0" fontId="3" fillId="6" borderId="50" xfId="0" applyFont="1" applyFill="1" applyBorder="1" applyAlignment="1">
      <alignment horizontal="center" vertical="center" shrinkToFit="1"/>
    </xf>
    <xf numFmtId="0" fontId="3" fillId="0" borderId="59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49" xfId="0" applyFont="1" applyBorder="1" applyAlignment="1">
      <alignment horizontal="center" vertical="center" shrinkToFit="1"/>
    </xf>
    <xf numFmtId="0" fontId="3" fillId="6" borderId="8" xfId="0" applyFont="1" applyFill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83" xfId="0" applyFont="1" applyBorder="1" applyAlignment="1">
      <alignment horizontal="center" vertical="center" shrinkToFit="1"/>
    </xf>
    <xf numFmtId="0" fontId="3" fillId="0" borderId="68" xfId="0" applyFont="1" applyBorder="1" applyAlignment="1">
      <alignment horizontal="center" vertical="center" shrinkToFit="1"/>
    </xf>
    <xf numFmtId="0" fontId="3" fillId="0" borderId="84" xfId="0" applyFont="1" applyBorder="1" applyAlignment="1">
      <alignment horizontal="center" vertical="center" shrinkToFit="1"/>
    </xf>
    <xf numFmtId="0" fontId="3" fillId="5" borderId="65" xfId="0" applyFont="1" applyFill="1" applyBorder="1" applyAlignment="1">
      <alignment horizontal="center" vertical="center" shrinkToFit="1"/>
    </xf>
    <xf numFmtId="0" fontId="3" fillId="5" borderId="74" xfId="0" applyFont="1" applyFill="1" applyBorder="1" applyAlignment="1">
      <alignment horizontal="center" vertical="center" shrinkToFit="1"/>
    </xf>
    <xf numFmtId="0" fontId="3" fillId="5" borderId="77" xfId="0" applyFont="1" applyFill="1" applyBorder="1" applyAlignment="1">
      <alignment horizontal="center" vertical="center" shrinkToFit="1"/>
    </xf>
    <xf numFmtId="0" fontId="3" fillId="5" borderId="78" xfId="0" applyFont="1" applyFill="1" applyBorder="1" applyAlignment="1">
      <alignment horizontal="center" vertical="center" shrinkToFit="1"/>
    </xf>
    <xf numFmtId="0" fontId="3" fillId="5" borderId="79" xfId="0" applyFont="1" applyFill="1" applyBorder="1" applyAlignment="1">
      <alignment horizontal="center" vertical="center" shrinkToFit="1"/>
    </xf>
    <xf numFmtId="0" fontId="3" fillId="7" borderId="81" xfId="0" applyFont="1" applyFill="1" applyBorder="1" applyAlignment="1">
      <alignment horizontal="center"/>
    </xf>
    <xf numFmtId="0" fontId="5" fillId="3" borderId="78" xfId="0" applyFont="1" applyFill="1" applyBorder="1" applyAlignment="1">
      <alignment horizontal="center"/>
    </xf>
    <xf numFmtId="0" fontId="3" fillId="7" borderId="77" xfId="0" applyFont="1" applyFill="1" applyBorder="1" applyAlignment="1">
      <alignment horizontal="center"/>
    </xf>
    <xf numFmtId="0" fontId="3" fillId="0" borderId="60" xfId="0" applyFont="1" applyBorder="1" applyAlignment="1">
      <alignment horizontal="center" vertical="center" shrinkToFit="1"/>
    </xf>
    <xf numFmtId="0" fontId="3" fillId="0" borderId="58" xfId="0" applyFont="1" applyBorder="1" applyAlignment="1">
      <alignment horizontal="center" vertical="center" shrinkToFit="1"/>
    </xf>
    <xf numFmtId="0" fontId="3" fillId="6" borderId="49" xfId="0" applyFont="1" applyFill="1" applyBorder="1" applyAlignment="1">
      <alignment horizontal="center" vertical="center" shrinkToFit="1"/>
    </xf>
    <xf numFmtId="0" fontId="3" fillId="0" borderId="52" xfId="0" applyFont="1" applyBorder="1" applyAlignment="1">
      <alignment horizontal="center" vertical="center" shrinkToFit="1"/>
    </xf>
    <xf numFmtId="0" fontId="3" fillId="0" borderId="73" xfId="0" applyFont="1" applyBorder="1" applyAlignment="1">
      <alignment horizontal="center" vertical="center" shrinkToFit="1"/>
    </xf>
    <xf numFmtId="0" fontId="3" fillId="4" borderId="65" xfId="0" applyFont="1" applyFill="1" applyBorder="1" applyAlignment="1">
      <alignment horizontal="center"/>
    </xf>
    <xf numFmtId="0" fontId="3" fillId="4" borderId="75" xfId="0" applyFont="1" applyFill="1" applyBorder="1" applyAlignment="1">
      <alignment horizontal="center"/>
    </xf>
    <xf numFmtId="0" fontId="3" fillId="9" borderId="78" xfId="0" applyFont="1" applyFill="1" applyBorder="1" applyAlignment="1">
      <alignment horizontal="center"/>
    </xf>
    <xf numFmtId="0" fontId="3" fillId="9" borderId="74" xfId="0" applyFont="1" applyFill="1" applyBorder="1" applyAlignment="1">
      <alignment horizontal="center"/>
    </xf>
    <xf numFmtId="0" fontId="3" fillId="4" borderId="77" xfId="0" applyFont="1" applyFill="1" applyBorder="1" applyAlignment="1">
      <alignment horizontal="center"/>
    </xf>
    <xf numFmtId="0" fontId="3" fillId="4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4" borderId="76" xfId="0" applyFont="1" applyFill="1" applyBorder="1" applyAlignment="1">
      <alignment horizontal="center"/>
    </xf>
    <xf numFmtId="0" fontId="3" fillId="4" borderId="79" xfId="0" applyFont="1" applyFill="1" applyBorder="1" applyAlignment="1">
      <alignment horizontal="center"/>
    </xf>
    <xf numFmtId="0" fontId="3" fillId="8" borderId="80" xfId="0" applyFont="1" applyFill="1" applyBorder="1" applyAlignment="1">
      <alignment horizontal="center"/>
    </xf>
    <xf numFmtId="0" fontId="3" fillId="8" borderId="76" xfId="0" applyFont="1" applyFill="1" applyBorder="1" applyAlignment="1">
      <alignment horizontal="center"/>
    </xf>
    <xf numFmtId="0" fontId="3" fillId="4" borderId="85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 shrinkToFit="1"/>
    </xf>
    <xf numFmtId="0" fontId="3" fillId="8" borderId="65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8" borderId="81" xfId="0" applyFont="1" applyFill="1" applyBorder="1" applyAlignment="1">
      <alignment horizontal="center"/>
    </xf>
    <xf numFmtId="0" fontId="3" fillId="4" borderId="80" xfId="0" applyFont="1" applyFill="1" applyBorder="1" applyAlignment="1">
      <alignment horizontal="center"/>
    </xf>
    <xf numFmtId="0" fontId="3" fillId="7" borderId="85" xfId="0" applyFont="1" applyFill="1" applyBorder="1" applyAlignment="1">
      <alignment horizontal="center"/>
    </xf>
    <xf numFmtId="0" fontId="9" fillId="6" borderId="50" xfId="0" applyFont="1" applyFill="1" applyBorder="1" applyAlignment="1">
      <alignment horizontal="center" vertical="center" shrinkToFit="1"/>
    </xf>
    <xf numFmtId="0" fontId="3" fillId="9" borderId="65" xfId="0" applyFont="1" applyFill="1" applyBorder="1" applyAlignment="1">
      <alignment horizontal="center"/>
    </xf>
    <xf numFmtId="0" fontId="3" fillId="9" borderId="75" xfId="0" applyFont="1" applyFill="1" applyBorder="1" applyAlignment="1">
      <alignment horizontal="center"/>
    </xf>
    <xf numFmtId="0" fontId="3" fillId="9" borderId="80" xfId="0" applyFont="1" applyFill="1" applyBorder="1" applyAlignment="1">
      <alignment horizontal="center"/>
    </xf>
    <xf numFmtId="0" fontId="3" fillId="9" borderId="85" xfId="0" applyFont="1" applyFill="1" applyBorder="1" applyAlignment="1">
      <alignment horizontal="center"/>
    </xf>
    <xf numFmtId="0" fontId="3" fillId="6" borderId="59" xfId="0" applyFont="1" applyFill="1" applyBorder="1" applyAlignment="1">
      <alignment horizontal="center" vertical="center" shrinkToFit="1"/>
    </xf>
    <xf numFmtId="0" fontId="3" fillId="6" borderId="24" xfId="0" applyFont="1" applyFill="1" applyBorder="1" applyAlignment="1">
      <alignment horizontal="center" vertical="center" shrinkToFit="1"/>
    </xf>
    <xf numFmtId="0" fontId="3" fillId="6" borderId="22" xfId="0" applyFont="1" applyFill="1" applyBorder="1" applyAlignment="1">
      <alignment horizontal="center" vertical="center" shrinkToFit="1"/>
    </xf>
    <xf numFmtId="0" fontId="3" fillId="0" borderId="86" xfId="0" applyFont="1" applyBorder="1" applyAlignment="1">
      <alignment horizontal="center" vertical="center" shrinkToFit="1"/>
    </xf>
    <xf numFmtId="0" fontId="3" fillId="0" borderId="87" xfId="0" applyFont="1" applyBorder="1" applyAlignment="1">
      <alignment horizontal="center" vertical="center" shrinkToFit="1"/>
    </xf>
    <xf numFmtId="0" fontId="3" fillId="0" borderId="88" xfId="0" applyFont="1" applyBorder="1" applyAlignment="1">
      <alignment horizontal="center" vertical="center" shrinkToFit="1"/>
    </xf>
    <xf numFmtId="0" fontId="3" fillId="0" borderId="89" xfId="0" applyFont="1" applyBorder="1" applyAlignment="1">
      <alignment horizontal="center" vertical="center" shrinkToFit="1"/>
    </xf>
    <xf numFmtId="0" fontId="3" fillId="0" borderId="90" xfId="0" applyFont="1" applyBorder="1" applyAlignment="1">
      <alignment horizontal="center" vertical="center" shrinkToFit="1"/>
    </xf>
    <xf numFmtId="0" fontId="3" fillId="6" borderId="87" xfId="0" applyFont="1" applyFill="1" applyBorder="1" applyAlignment="1">
      <alignment horizontal="center" vertical="center" shrinkToFit="1"/>
    </xf>
    <xf numFmtId="0" fontId="3" fillId="8" borderId="75" xfId="0" applyFont="1" applyFill="1" applyBorder="1" applyAlignment="1">
      <alignment horizontal="center"/>
    </xf>
    <xf numFmtId="0" fontId="3" fillId="8" borderId="85" xfId="0" applyFont="1" applyFill="1" applyBorder="1" applyAlignment="1">
      <alignment horizontal="center"/>
    </xf>
    <xf numFmtId="0" fontId="3" fillId="9" borderId="91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shrinkToFit="1"/>
    </xf>
    <xf numFmtId="0" fontId="3" fillId="0" borderId="25" xfId="0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 shrinkToFit="1"/>
    </xf>
    <xf numFmtId="0" fontId="3" fillId="0" borderId="53" xfId="0" applyFont="1" applyBorder="1" applyAlignment="1">
      <alignment horizontal="center" vertical="center" shrinkToFit="1"/>
    </xf>
    <xf numFmtId="0" fontId="3" fillId="7" borderId="96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9" borderId="97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3" fillId="5" borderId="94" xfId="0" applyFont="1" applyFill="1" applyBorder="1" applyAlignment="1">
      <alignment horizontal="center" vertical="center" shrinkToFit="1"/>
    </xf>
    <xf numFmtId="0" fontId="3" fillId="5" borderId="95" xfId="0" applyFont="1" applyFill="1" applyBorder="1" applyAlignment="1">
      <alignment horizontal="center" vertical="center" shrinkToFit="1"/>
    </xf>
    <xf numFmtId="0" fontId="3" fillId="7" borderId="98" xfId="0" applyFont="1" applyFill="1" applyBorder="1" applyAlignment="1">
      <alignment horizontal="center"/>
    </xf>
    <xf numFmtId="0" fontId="3" fillId="7" borderId="50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3" fillId="0" borderId="43" xfId="0" applyFont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4" borderId="49" xfId="0" applyFont="1" applyFill="1" applyBorder="1" applyAlignment="1">
      <alignment horizontal="center"/>
    </xf>
    <xf numFmtId="0" fontId="3" fillId="9" borderId="22" xfId="0" applyFont="1" applyFill="1" applyBorder="1" applyAlignment="1">
      <alignment horizontal="center"/>
    </xf>
    <xf numFmtId="0" fontId="3" fillId="9" borderId="24" xfId="0" applyFont="1" applyFill="1" applyBorder="1" applyAlignment="1">
      <alignment horizontal="center"/>
    </xf>
    <xf numFmtId="0" fontId="3" fillId="7" borderId="40" xfId="0" applyFont="1" applyFill="1" applyBorder="1" applyAlignment="1">
      <alignment horizontal="center"/>
    </xf>
    <xf numFmtId="0" fontId="3" fillId="7" borderId="59" xfId="0" applyFont="1" applyFill="1" applyBorder="1" applyAlignment="1">
      <alignment horizontal="center"/>
    </xf>
    <xf numFmtId="0" fontId="3" fillId="9" borderId="99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49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4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49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4" borderId="59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6" borderId="53" xfId="0" applyFont="1" applyFill="1" applyBorder="1" applyAlignment="1">
      <alignment horizontal="center" vertical="center" shrinkToFit="1"/>
    </xf>
    <xf numFmtId="0" fontId="3" fillId="9" borderId="59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9" borderId="18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 vertical="center" shrinkToFit="1"/>
    </xf>
    <xf numFmtId="0" fontId="3" fillId="5" borderId="0" xfId="0" applyFont="1" applyFill="1" applyAlignment="1">
      <alignment horizontal="center" vertical="center" shrinkToFit="1"/>
    </xf>
    <xf numFmtId="0" fontId="3" fillId="0" borderId="93" xfId="0" applyFont="1" applyBorder="1" applyAlignment="1">
      <alignment horizontal="center" vertical="center" shrinkToFit="1"/>
    </xf>
    <xf numFmtId="0" fontId="7" fillId="4" borderId="20" xfId="0" applyFont="1" applyFill="1" applyBorder="1" applyAlignment="1">
      <alignment horizontal="center" vertical="center"/>
    </xf>
    <xf numFmtId="0" fontId="3" fillId="0" borderId="57" xfId="0" applyFont="1" applyBorder="1" applyAlignment="1">
      <alignment horizontal="center" vertical="center" shrinkToFit="1"/>
    </xf>
    <xf numFmtId="0" fontId="0" fillId="0" borderId="101" xfId="0" applyBorder="1"/>
    <xf numFmtId="0" fontId="0" fillId="0" borderId="102" xfId="0" applyBorder="1"/>
    <xf numFmtId="0" fontId="23" fillId="0" borderId="0" xfId="0" applyFont="1"/>
    <xf numFmtId="0" fontId="25" fillId="0" borderId="0" xfId="1" applyFont="1" applyAlignment="1">
      <alignment horizontal="right"/>
    </xf>
    <xf numFmtId="0" fontId="25" fillId="0" borderId="0" xfId="1" applyFont="1" applyAlignment="1">
      <alignment horizontal="left"/>
    </xf>
    <xf numFmtId="0" fontId="3" fillId="4" borderId="119" xfId="0" applyFont="1" applyFill="1" applyBorder="1" applyAlignment="1">
      <alignment horizontal="center"/>
    </xf>
    <xf numFmtId="0" fontId="3" fillId="4" borderId="120" xfId="0" applyFont="1" applyFill="1" applyBorder="1" applyAlignment="1">
      <alignment horizontal="center"/>
    </xf>
    <xf numFmtId="0" fontId="3" fillId="7" borderId="119" xfId="0" applyFont="1" applyFill="1" applyBorder="1" applyAlignment="1">
      <alignment horizontal="center"/>
    </xf>
    <xf numFmtId="0" fontId="20" fillId="0" borderId="39" xfId="0" applyFont="1" applyBorder="1" applyAlignment="1">
      <alignment horizontal="left" vertical="top"/>
    </xf>
    <xf numFmtId="0" fontId="3" fillId="9" borderId="0" xfId="0" applyFont="1" applyFill="1" applyAlignment="1">
      <alignment horizontal="center"/>
    </xf>
    <xf numFmtId="0" fontId="3" fillId="7" borderId="94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3" fillId="5" borderId="25" xfId="0" applyFont="1" applyFill="1" applyBorder="1" applyAlignment="1">
      <alignment horizontal="center" vertical="center" shrinkToFit="1"/>
    </xf>
    <xf numFmtId="0" fontId="3" fillId="7" borderId="25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 vertical="center" shrinkToFit="1"/>
    </xf>
    <xf numFmtId="0" fontId="3" fillId="7" borderId="23" xfId="0" applyFont="1" applyFill="1" applyBorder="1" applyAlignment="1">
      <alignment horizontal="center"/>
    </xf>
    <xf numFmtId="0" fontId="5" fillId="16" borderId="20" xfId="0" applyFont="1" applyFill="1" applyBorder="1" applyAlignment="1">
      <alignment horizontal="center"/>
    </xf>
    <xf numFmtId="0" fontId="3" fillId="21" borderId="0" xfId="0" applyFont="1" applyFill="1" applyAlignment="1">
      <alignment horizontal="center"/>
    </xf>
    <xf numFmtId="0" fontId="3" fillId="19" borderId="20" xfId="0" applyFont="1" applyFill="1" applyBorder="1" applyAlignment="1">
      <alignment horizontal="center"/>
    </xf>
    <xf numFmtId="0" fontId="3" fillId="21" borderId="16" xfId="0" applyFont="1" applyFill="1" applyBorder="1" applyAlignment="1">
      <alignment horizontal="center"/>
    </xf>
    <xf numFmtId="0" fontId="3" fillId="21" borderId="121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 shrinkToFit="1"/>
    </xf>
    <xf numFmtId="0" fontId="3" fillId="17" borderId="57" xfId="0" applyFont="1" applyFill="1" applyBorder="1" applyAlignment="1">
      <alignment horizontal="center"/>
    </xf>
    <xf numFmtId="0" fontId="3" fillId="21" borderId="20" xfId="0" applyFont="1" applyFill="1" applyBorder="1" applyAlignment="1">
      <alignment horizontal="center"/>
    </xf>
    <xf numFmtId="0" fontId="3" fillId="22" borderId="20" xfId="0" applyFont="1" applyFill="1" applyBorder="1" applyAlignment="1">
      <alignment horizontal="center"/>
    </xf>
    <xf numFmtId="0" fontId="3" fillId="17" borderId="20" xfId="0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/>
    </xf>
    <xf numFmtId="0" fontId="3" fillId="21" borderId="10" xfId="0" applyFont="1" applyFill="1" applyBorder="1" applyAlignment="1">
      <alignment horizontal="center"/>
    </xf>
    <xf numFmtId="0" fontId="3" fillId="17" borderId="16" xfId="0" applyFont="1" applyFill="1" applyBorder="1" applyAlignment="1">
      <alignment horizontal="center"/>
    </xf>
    <xf numFmtId="0" fontId="3" fillId="19" borderId="16" xfId="0" applyFont="1" applyFill="1" applyBorder="1" applyAlignment="1">
      <alignment horizontal="center"/>
    </xf>
    <xf numFmtId="0" fontId="3" fillId="22" borderId="16" xfId="0" applyFont="1" applyFill="1" applyBorder="1" applyAlignment="1">
      <alignment horizontal="center"/>
    </xf>
    <xf numFmtId="0" fontId="3" fillId="21" borderId="3" xfId="0" applyFont="1" applyFill="1" applyBorder="1" applyAlignment="1">
      <alignment horizontal="center"/>
    </xf>
    <xf numFmtId="0" fontId="3" fillId="22" borderId="3" xfId="0" applyFont="1" applyFill="1" applyBorder="1" applyAlignment="1">
      <alignment horizontal="center"/>
    </xf>
    <xf numFmtId="0" fontId="3" fillId="17" borderId="3" xfId="0" applyFont="1" applyFill="1" applyBorder="1" applyAlignment="1">
      <alignment horizontal="center"/>
    </xf>
    <xf numFmtId="0" fontId="3" fillId="17" borderId="10" xfId="0" applyFont="1" applyFill="1" applyBorder="1" applyAlignment="1">
      <alignment horizontal="center"/>
    </xf>
    <xf numFmtId="0" fontId="3" fillId="19" borderId="10" xfId="0" applyFont="1" applyFill="1" applyBorder="1" applyAlignment="1">
      <alignment horizontal="center"/>
    </xf>
    <xf numFmtId="0" fontId="3" fillId="22" borderId="10" xfId="0" applyFont="1" applyFill="1" applyBorder="1" applyAlignment="1">
      <alignment horizontal="center"/>
    </xf>
    <xf numFmtId="0" fontId="3" fillId="19" borderId="4" xfId="0" applyFont="1" applyFill="1" applyBorder="1" applyAlignment="1">
      <alignment horizontal="center"/>
    </xf>
    <xf numFmtId="0" fontId="3" fillId="21" borderId="4" xfId="0" applyFont="1" applyFill="1" applyBorder="1" applyAlignment="1">
      <alignment horizontal="center"/>
    </xf>
    <xf numFmtId="0" fontId="3" fillId="22" borderId="4" xfId="0" applyFont="1" applyFill="1" applyBorder="1" applyAlignment="1">
      <alignment horizontal="center"/>
    </xf>
    <xf numFmtId="0" fontId="3" fillId="17" borderId="4" xfId="0" applyFont="1" applyFill="1" applyBorder="1" applyAlignment="1">
      <alignment horizontal="center"/>
    </xf>
    <xf numFmtId="0" fontId="10" fillId="3" borderId="53" xfId="0" applyFont="1" applyFill="1" applyBorder="1" applyAlignment="1">
      <alignment horizontal="center" vertical="center"/>
    </xf>
    <xf numFmtId="0" fontId="19" fillId="23" borderId="0" xfId="0" applyFont="1" applyFill="1"/>
    <xf numFmtId="0" fontId="0" fillId="23" borderId="0" xfId="0" applyFill="1"/>
    <xf numFmtId="0" fontId="3" fillId="0" borderId="122" xfId="0" applyFont="1" applyBorder="1" applyAlignment="1">
      <alignment horizontal="center" vertical="center" shrinkToFit="1"/>
    </xf>
    <xf numFmtId="0" fontId="5" fillId="16" borderId="16" xfId="0" applyFont="1" applyFill="1" applyBorder="1" applyAlignment="1">
      <alignment horizontal="center"/>
    </xf>
    <xf numFmtId="0" fontId="3" fillId="6" borderId="122" xfId="0" applyFont="1" applyFill="1" applyBorder="1" applyAlignment="1">
      <alignment horizontal="center" vertical="center" shrinkToFit="1"/>
    </xf>
    <xf numFmtId="0" fontId="27" fillId="0" borderId="0" xfId="1" applyFont="1" applyAlignment="1">
      <alignment horizontal="right"/>
    </xf>
    <xf numFmtId="0" fontId="27" fillId="0" borderId="0" xfId="1" applyFont="1" applyAlignment="1">
      <alignment horizontal="left"/>
    </xf>
    <xf numFmtId="0" fontId="22" fillId="0" borderId="0" xfId="0" applyFont="1"/>
    <xf numFmtId="0" fontId="5" fillId="16" borderId="10" xfId="0" applyFont="1" applyFill="1" applyBorder="1" applyAlignment="1">
      <alignment horizontal="center"/>
    </xf>
    <xf numFmtId="0" fontId="5" fillId="16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9" borderId="53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9" fillId="16" borderId="3" xfId="0" applyFont="1" applyFill="1" applyBorder="1" applyAlignment="1">
      <alignment horizontal="center" vertical="center" shrinkToFit="1"/>
    </xf>
    <xf numFmtId="0" fontId="28" fillId="16" borderId="3" xfId="0" applyFont="1" applyFill="1" applyBorder="1" applyAlignment="1">
      <alignment horizontal="center" vertical="center" shrinkToFit="1"/>
    </xf>
    <xf numFmtId="0" fontId="3" fillId="7" borderId="53" xfId="0" applyFont="1" applyFill="1" applyBorder="1" applyAlignment="1">
      <alignment horizontal="center"/>
    </xf>
    <xf numFmtId="0" fontId="3" fillId="4" borderId="54" xfId="0" applyFont="1" applyFill="1" applyBorder="1" applyAlignment="1">
      <alignment horizontal="center"/>
    </xf>
    <xf numFmtId="0" fontId="0" fillId="0" borderId="20" xfId="0" applyBorder="1"/>
    <xf numFmtId="0" fontId="3" fillId="9" borderId="58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0" fillId="0" borderId="3" xfId="0" applyBorder="1"/>
    <xf numFmtId="165" fontId="3" fillId="4" borderId="22" xfId="0" applyNumberFormat="1" applyFont="1" applyFill="1" applyBorder="1" applyAlignment="1">
      <alignment horizontal="center"/>
    </xf>
    <xf numFmtId="165" fontId="3" fillId="4" borderId="0" xfId="0" applyNumberFormat="1" applyFont="1" applyFill="1" applyAlignment="1">
      <alignment horizontal="center"/>
    </xf>
    <xf numFmtId="165" fontId="3" fillId="7" borderId="12" xfId="0" applyNumberFormat="1" applyFont="1" applyFill="1" applyBorder="1" applyAlignment="1">
      <alignment horizontal="center"/>
    </xf>
    <xf numFmtId="165" fontId="3" fillId="7" borderId="8" xfId="0" applyNumberFormat="1" applyFont="1" applyFill="1" applyBorder="1" applyAlignment="1">
      <alignment horizontal="center"/>
    </xf>
    <xf numFmtId="165" fontId="3" fillId="9" borderId="22" xfId="0" applyNumberFormat="1" applyFont="1" applyFill="1" applyBorder="1" applyAlignment="1">
      <alignment horizontal="center"/>
    </xf>
    <xf numFmtId="165" fontId="3" fillId="9" borderId="24" xfId="0" applyNumberFormat="1" applyFont="1" applyFill="1" applyBorder="1" applyAlignment="1">
      <alignment horizontal="center"/>
    </xf>
    <xf numFmtId="165" fontId="3" fillId="9" borderId="18" xfId="0" applyNumberFormat="1" applyFont="1" applyFill="1" applyBorder="1" applyAlignment="1">
      <alignment horizontal="center"/>
    </xf>
    <xf numFmtId="165" fontId="3" fillId="7" borderId="59" xfId="0" applyNumberFormat="1" applyFont="1" applyFill="1" applyBorder="1" applyAlignment="1">
      <alignment horizontal="center"/>
    </xf>
    <xf numFmtId="165" fontId="3" fillId="9" borderId="99" xfId="0" applyNumberFormat="1" applyFont="1" applyFill="1" applyBorder="1" applyAlignment="1">
      <alignment horizontal="center"/>
    </xf>
    <xf numFmtId="165" fontId="3" fillId="8" borderId="22" xfId="0" applyNumberFormat="1" applyFont="1" applyFill="1" applyBorder="1" applyAlignment="1">
      <alignment horizontal="center"/>
    </xf>
    <xf numFmtId="165" fontId="3" fillId="8" borderId="24" xfId="0" applyNumberFormat="1" applyFont="1" applyFill="1" applyBorder="1" applyAlignment="1">
      <alignment horizontal="center"/>
    </xf>
    <xf numFmtId="165" fontId="3" fillId="7" borderId="0" xfId="0" applyNumberFormat="1" applyFont="1" applyFill="1" applyAlignment="1">
      <alignment horizontal="center"/>
    </xf>
    <xf numFmtId="165" fontId="3" fillId="9" borderId="59" xfId="0" applyNumberFormat="1" applyFont="1" applyFill="1" applyBorder="1" applyAlignment="1">
      <alignment horizontal="center"/>
    </xf>
    <xf numFmtId="165" fontId="3" fillId="7" borderId="4" xfId="0" applyNumberFormat="1" applyFont="1" applyFill="1" applyBorder="1" applyAlignment="1">
      <alignment horizontal="center"/>
    </xf>
    <xf numFmtId="165" fontId="3" fillId="7" borderId="10" xfId="0" applyNumberFormat="1" applyFont="1" applyFill="1" applyBorder="1" applyAlignment="1">
      <alignment horizontal="center"/>
    </xf>
    <xf numFmtId="165" fontId="3" fillId="9" borderId="6" xfId="0" applyNumberFormat="1" applyFont="1" applyFill="1" applyBorder="1" applyAlignment="1">
      <alignment horizontal="center"/>
    </xf>
    <xf numFmtId="165" fontId="3" fillId="7" borderId="22" xfId="0" applyNumberFormat="1" applyFont="1" applyFill="1" applyBorder="1" applyAlignment="1">
      <alignment horizontal="center"/>
    </xf>
    <xf numFmtId="165" fontId="3" fillId="4" borderId="24" xfId="0" applyNumberFormat="1" applyFont="1" applyFill="1" applyBorder="1" applyAlignment="1">
      <alignment horizontal="center"/>
    </xf>
    <xf numFmtId="165" fontId="3" fillId="7" borderId="23" xfId="0" applyNumberFormat="1" applyFont="1" applyFill="1" applyBorder="1" applyAlignment="1">
      <alignment horizontal="center"/>
    </xf>
    <xf numFmtId="165" fontId="3" fillId="4" borderId="59" xfId="0" applyNumberFormat="1" applyFont="1" applyFill="1" applyBorder="1" applyAlignment="1">
      <alignment horizontal="center"/>
    </xf>
    <xf numFmtId="20" fontId="6" fillId="0" borderId="0" xfId="0" applyNumberFormat="1" applyFont="1" applyAlignment="1">
      <alignment horizontal="center" vertical="center" shrinkToFit="1"/>
    </xf>
    <xf numFmtId="0" fontId="29" fillId="0" borderId="0" xfId="0" applyFont="1"/>
    <xf numFmtId="1" fontId="3" fillId="0" borderId="123" xfId="0" applyNumberFormat="1" applyFont="1" applyBorder="1" applyAlignment="1">
      <alignment horizontal="center" vertical="center" shrinkToFit="1"/>
    </xf>
    <xf numFmtId="0" fontId="30" fillId="0" borderId="0" xfId="2"/>
    <xf numFmtId="0" fontId="35" fillId="4" borderId="20" xfId="0" applyFont="1" applyFill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2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" fillId="26" borderId="22" xfId="0" applyFont="1" applyFill="1" applyBorder="1" applyAlignment="1">
      <alignment horizontal="center" vertical="center" shrinkToFit="1"/>
    </xf>
    <xf numFmtId="0" fontId="37" fillId="6" borderId="20" xfId="0" applyFont="1" applyFill="1" applyBorder="1" applyAlignment="1">
      <alignment horizontal="center" vertical="center"/>
    </xf>
    <xf numFmtId="0" fontId="37" fillId="17" borderId="20" xfId="0" applyFont="1" applyFill="1" applyBorder="1" applyAlignment="1">
      <alignment horizontal="center" vertical="center"/>
    </xf>
    <xf numFmtId="0" fontId="37" fillId="16" borderId="16" xfId="0" applyFont="1" applyFill="1" applyBorder="1" applyAlignment="1">
      <alignment horizontal="center" vertical="center"/>
    </xf>
    <xf numFmtId="0" fontId="37" fillId="6" borderId="16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37" fillId="16" borderId="20" xfId="0" applyFont="1" applyFill="1" applyBorder="1" applyAlignment="1">
      <alignment horizontal="center" vertical="center"/>
    </xf>
    <xf numFmtId="0" fontId="3" fillId="19" borderId="22" xfId="0" applyFont="1" applyFill="1" applyBorder="1" applyAlignment="1">
      <alignment horizontal="center"/>
    </xf>
    <xf numFmtId="0" fontId="3" fillId="23" borderId="23" xfId="0" applyFont="1" applyFill="1" applyBorder="1" applyAlignment="1">
      <alignment horizontal="center" vertical="center" shrinkToFit="1"/>
    </xf>
    <xf numFmtId="0" fontId="37" fillId="16" borderId="3" xfId="0" applyFont="1" applyFill="1" applyBorder="1" applyAlignment="1">
      <alignment horizontal="center" vertical="center"/>
    </xf>
    <xf numFmtId="0" fontId="3" fillId="0" borderId="123" xfId="0" applyFont="1" applyBorder="1" applyAlignment="1">
      <alignment horizontal="center" vertical="center" shrinkToFit="1"/>
    </xf>
    <xf numFmtId="0" fontId="37" fillId="17" borderId="3" xfId="0" applyFont="1" applyFill="1" applyBorder="1" applyAlignment="1">
      <alignment horizontal="center" vertical="center"/>
    </xf>
    <xf numFmtId="0" fontId="31" fillId="0" borderId="0" xfId="2" applyFont="1" applyAlignment="1"/>
    <xf numFmtId="0" fontId="38" fillId="4" borderId="22" xfId="0" applyFont="1" applyFill="1" applyBorder="1" applyAlignment="1">
      <alignment horizontal="center"/>
    </xf>
    <xf numFmtId="0" fontId="4" fillId="7" borderId="25" xfId="0" applyFont="1" applyFill="1" applyBorder="1" applyAlignment="1">
      <alignment horizontal="center"/>
    </xf>
    <xf numFmtId="0" fontId="5" fillId="9" borderId="22" xfId="0" applyFont="1" applyFill="1" applyBorder="1" applyAlignment="1">
      <alignment horizontal="center"/>
    </xf>
    <xf numFmtId="0" fontId="5" fillId="9" borderId="24" xfId="0" applyFont="1" applyFill="1" applyBorder="1" applyAlignment="1">
      <alignment horizontal="center"/>
    </xf>
    <xf numFmtId="0" fontId="5" fillId="9" borderId="99" xfId="0" applyFont="1" applyFill="1" applyBorder="1" applyAlignment="1">
      <alignment horizontal="center"/>
    </xf>
    <xf numFmtId="0" fontId="5" fillId="8" borderId="22" xfId="0" applyFont="1" applyFill="1" applyBorder="1" applyAlignment="1">
      <alignment horizontal="center"/>
    </xf>
    <xf numFmtId="0" fontId="5" fillId="8" borderId="24" xfId="0" applyFont="1" applyFill="1" applyBorder="1" applyAlignment="1">
      <alignment horizontal="center"/>
    </xf>
    <xf numFmtId="0" fontId="38" fillId="4" borderId="0" xfId="0" applyFont="1" applyFill="1" applyAlignment="1">
      <alignment horizontal="center"/>
    </xf>
    <xf numFmtId="0" fontId="38" fillId="4" borderId="59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49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/>
    </xf>
    <xf numFmtId="0" fontId="38" fillId="4" borderId="8" xfId="0" applyFont="1" applyFill="1" applyBorder="1" applyAlignment="1">
      <alignment horizontal="center"/>
    </xf>
    <xf numFmtId="0" fontId="5" fillId="9" borderId="18" xfId="0" applyFont="1" applyFill="1" applyBorder="1" applyAlignment="1">
      <alignment horizontal="center"/>
    </xf>
    <xf numFmtId="0" fontId="5" fillId="9" borderId="59" xfId="0" applyFont="1" applyFill="1" applyBorder="1" applyAlignment="1">
      <alignment horizontal="center"/>
    </xf>
    <xf numFmtId="0" fontId="5" fillId="5" borderId="22" xfId="0" applyFont="1" applyFill="1" applyBorder="1" applyAlignment="1">
      <alignment horizontal="center" vertical="center" shrinkToFit="1"/>
    </xf>
    <xf numFmtId="0" fontId="5" fillId="5" borderId="0" xfId="0" applyFont="1" applyFill="1" applyAlignment="1">
      <alignment horizontal="center" vertical="center" shrinkToFit="1"/>
    </xf>
    <xf numFmtId="0" fontId="4" fillId="7" borderId="23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 shrinkToFit="1"/>
    </xf>
    <xf numFmtId="0" fontId="4" fillId="0" borderId="53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43" xfId="0" applyFont="1" applyBorder="1" applyAlignment="1">
      <alignment horizontal="center" vertical="center" shrinkToFit="1"/>
    </xf>
    <xf numFmtId="0" fontId="37" fillId="17" borderId="16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/>
    </xf>
    <xf numFmtId="0" fontId="10" fillId="4" borderId="129" xfId="0" applyFont="1" applyFill="1" applyBorder="1" applyAlignment="1">
      <alignment horizontal="center" vertical="center"/>
    </xf>
    <xf numFmtId="0" fontId="10" fillId="3" borderId="135" xfId="0" applyFont="1" applyFill="1" applyBorder="1" applyAlignment="1">
      <alignment horizontal="center" vertical="center"/>
    </xf>
    <xf numFmtId="0" fontId="3" fillId="23" borderId="4" xfId="0" applyFont="1" applyFill="1" applyBorder="1" applyAlignment="1">
      <alignment horizontal="center" vertical="center" shrinkToFit="1"/>
    </xf>
    <xf numFmtId="0" fontId="3" fillId="23" borderId="25" xfId="0" applyFont="1" applyFill="1" applyBorder="1" applyAlignment="1">
      <alignment horizontal="center" vertical="center" shrinkToFit="1"/>
    </xf>
    <xf numFmtId="0" fontId="3" fillId="7" borderId="7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shrinkToFit="1"/>
    </xf>
    <xf numFmtId="0" fontId="4" fillId="7" borderId="22" xfId="0" applyFont="1" applyFill="1" applyBorder="1" applyAlignment="1">
      <alignment horizontal="center"/>
    </xf>
    <xf numFmtId="0" fontId="4" fillId="0" borderId="57" xfId="0" applyFont="1" applyBorder="1" applyAlignment="1">
      <alignment horizontal="center" vertical="center" shrinkToFit="1"/>
    </xf>
    <xf numFmtId="0" fontId="4" fillId="23" borderId="23" xfId="0" applyFont="1" applyFill="1" applyBorder="1" applyAlignment="1">
      <alignment horizontal="center" vertical="center" shrinkToFit="1"/>
    </xf>
    <xf numFmtId="0" fontId="5" fillId="21" borderId="22" xfId="0" applyFont="1" applyFill="1" applyBorder="1" applyAlignment="1">
      <alignment horizontal="center"/>
    </xf>
    <xf numFmtId="0" fontId="5" fillId="22" borderId="22" xfId="0" applyFont="1" applyFill="1" applyBorder="1" applyAlignment="1">
      <alignment horizontal="center"/>
    </xf>
    <xf numFmtId="0" fontId="4" fillId="19" borderId="23" xfId="0" applyFont="1" applyFill="1" applyBorder="1" applyAlignment="1">
      <alignment horizontal="center"/>
    </xf>
    <xf numFmtId="0" fontId="4" fillId="23" borderId="4" xfId="0" applyFont="1" applyFill="1" applyBorder="1" applyAlignment="1">
      <alignment horizontal="center" vertical="center" shrinkToFit="1"/>
    </xf>
    <xf numFmtId="0" fontId="4" fillId="23" borderId="20" xfId="0" applyFont="1" applyFill="1" applyBorder="1" applyAlignment="1">
      <alignment horizontal="center" vertical="center" shrinkToFit="1"/>
    </xf>
    <xf numFmtId="0" fontId="3" fillId="23" borderId="16" xfId="0" applyFont="1" applyFill="1" applyBorder="1" applyAlignment="1">
      <alignment horizontal="center" vertical="center" shrinkToFit="1"/>
    </xf>
    <xf numFmtId="0" fontId="4" fillId="23" borderId="16" xfId="0" applyFont="1" applyFill="1" applyBorder="1" applyAlignment="1">
      <alignment horizontal="center" vertical="center" shrinkToFit="1"/>
    </xf>
    <xf numFmtId="0" fontId="4" fillId="23" borderId="3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0" fontId="3" fillId="7" borderId="131" xfId="0" applyFont="1" applyFill="1" applyBorder="1" applyAlignment="1">
      <alignment horizontal="center"/>
    </xf>
    <xf numFmtId="0" fontId="3" fillId="7" borderId="132" xfId="0" applyFont="1" applyFill="1" applyBorder="1" applyAlignment="1">
      <alignment horizontal="center"/>
    </xf>
    <xf numFmtId="0" fontId="3" fillId="0" borderId="131" xfId="0" applyFont="1" applyBorder="1" applyAlignment="1">
      <alignment horizontal="center" vertical="center" shrinkToFit="1"/>
    </xf>
    <xf numFmtId="0" fontId="5" fillId="9" borderId="132" xfId="0" applyFont="1" applyFill="1" applyBorder="1" applyAlignment="1">
      <alignment horizontal="center"/>
    </xf>
    <xf numFmtId="0" fontId="4" fillId="23" borderId="129" xfId="0" applyFont="1" applyFill="1" applyBorder="1" applyAlignment="1">
      <alignment horizontal="center" vertical="center" shrinkToFit="1"/>
    </xf>
    <xf numFmtId="0" fontId="5" fillId="8" borderId="130" xfId="0" applyFont="1" applyFill="1" applyBorder="1" applyAlignment="1">
      <alignment horizontal="center"/>
    </xf>
    <xf numFmtId="0" fontId="5" fillId="16" borderId="129" xfId="0" applyFont="1" applyFill="1" applyBorder="1" applyAlignment="1">
      <alignment horizontal="center"/>
    </xf>
    <xf numFmtId="0" fontId="4" fillId="0" borderId="129" xfId="0" applyFont="1" applyBorder="1" applyAlignment="1">
      <alignment horizontal="center" vertical="center" shrinkToFit="1"/>
    </xf>
    <xf numFmtId="0" fontId="4" fillId="23" borderId="133" xfId="0" applyFont="1" applyFill="1" applyBorder="1" applyAlignment="1">
      <alignment horizontal="center" vertical="center" shrinkToFit="1"/>
    </xf>
    <xf numFmtId="0" fontId="3" fillId="7" borderId="137" xfId="0" applyFont="1" applyFill="1" applyBorder="1" applyAlignment="1">
      <alignment horizontal="center"/>
    </xf>
    <xf numFmtId="0" fontId="3" fillId="23" borderId="135" xfId="0" applyFont="1" applyFill="1" applyBorder="1" applyAlignment="1">
      <alignment horizontal="center" vertical="center" shrinkToFit="1"/>
    </xf>
    <xf numFmtId="0" fontId="3" fillId="7" borderId="138" xfId="0" applyFont="1" applyFill="1" applyBorder="1" applyAlignment="1">
      <alignment horizontal="center"/>
    </xf>
    <xf numFmtId="0" fontId="3" fillId="0" borderId="137" xfId="0" applyFont="1" applyBorder="1" applyAlignment="1">
      <alignment horizontal="center" vertical="center" shrinkToFit="1"/>
    </xf>
    <xf numFmtId="0" fontId="3" fillId="21" borderId="135" xfId="0" applyFont="1" applyFill="1" applyBorder="1" applyAlignment="1">
      <alignment horizontal="center"/>
    </xf>
    <xf numFmtId="0" fontId="4" fillId="23" borderId="135" xfId="0" applyFont="1" applyFill="1" applyBorder="1" applyAlignment="1">
      <alignment horizontal="center" vertical="center" shrinkToFit="1"/>
    </xf>
    <xf numFmtId="0" fontId="38" fillId="4" borderId="138" xfId="0" applyFont="1" applyFill="1" applyBorder="1" applyAlignment="1">
      <alignment horizontal="center"/>
    </xf>
    <xf numFmtId="0" fontId="5" fillId="16" borderId="135" xfId="0" applyFont="1" applyFill="1" applyBorder="1" applyAlignment="1">
      <alignment horizontal="center"/>
    </xf>
    <xf numFmtId="0" fontId="4" fillId="6" borderId="135" xfId="0" applyFont="1" applyFill="1" applyBorder="1" applyAlignment="1">
      <alignment horizontal="center" vertical="center" shrinkToFit="1"/>
    </xf>
    <xf numFmtId="0" fontId="5" fillId="8" borderId="138" xfId="0" applyFont="1" applyFill="1" applyBorder="1" applyAlignment="1">
      <alignment horizontal="center"/>
    </xf>
    <xf numFmtId="0" fontId="4" fillId="0" borderId="137" xfId="0" applyFont="1" applyBorder="1" applyAlignment="1">
      <alignment horizontal="center" vertical="center" shrinkToFit="1"/>
    </xf>
    <xf numFmtId="0" fontId="5" fillId="9" borderId="136" xfId="0" applyFont="1" applyFill="1" applyBorder="1" applyAlignment="1">
      <alignment horizontal="center"/>
    </xf>
    <xf numFmtId="0" fontId="4" fillId="0" borderId="142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0" borderId="122" xfId="0" applyFont="1" applyBorder="1" applyAlignment="1">
      <alignment horizontal="center" vertical="center" shrinkToFit="1"/>
    </xf>
    <xf numFmtId="0" fontId="37" fillId="30" borderId="128" xfId="0" applyFont="1" applyFill="1" applyBorder="1" applyAlignment="1">
      <alignment horizontal="center" vertical="center"/>
    </xf>
    <xf numFmtId="0" fontId="37" fillId="30" borderId="15" xfId="0" applyFont="1" applyFill="1" applyBorder="1" applyAlignment="1">
      <alignment horizontal="center" vertical="center"/>
    </xf>
    <xf numFmtId="0" fontId="37" fillId="24" borderId="134" xfId="0" applyFont="1" applyFill="1" applyBorder="1" applyAlignment="1">
      <alignment horizontal="center" vertical="center"/>
    </xf>
    <xf numFmtId="0" fontId="37" fillId="3" borderId="9" xfId="0" applyFont="1" applyFill="1" applyBorder="1" applyAlignment="1">
      <alignment horizontal="center" vertical="center"/>
    </xf>
    <xf numFmtId="0" fontId="37" fillId="24" borderId="9" xfId="0" applyFont="1" applyFill="1" applyBorder="1" applyAlignment="1">
      <alignment horizontal="center" vertical="center"/>
    </xf>
    <xf numFmtId="0" fontId="37" fillId="17" borderId="143" xfId="0" applyFont="1" applyFill="1" applyBorder="1" applyAlignment="1">
      <alignment horizontal="center" vertical="center"/>
    </xf>
    <xf numFmtId="0" fontId="4" fillId="23" borderId="143" xfId="0" applyFont="1" applyFill="1" applyBorder="1" applyAlignment="1">
      <alignment horizontal="center" vertical="center" shrinkToFit="1"/>
    </xf>
    <xf numFmtId="0" fontId="37" fillId="16" borderId="143" xfId="0" applyFont="1" applyFill="1" applyBorder="1" applyAlignment="1">
      <alignment horizontal="center" vertical="center"/>
    </xf>
    <xf numFmtId="0" fontId="5" fillId="16" borderId="143" xfId="0" applyFont="1" applyFill="1" applyBorder="1" applyAlignment="1">
      <alignment horizontal="center"/>
    </xf>
    <xf numFmtId="0" fontId="37" fillId="16" borderId="144" xfId="0" applyFont="1" applyFill="1" applyBorder="1" applyAlignment="1">
      <alignment horizontal="center" vertical="center"/>
    </xf>
    <xf numFmtId="0" fontId="37" fillId="17" borderId="145" xfId="0" applyFont="1" applyFill="1" applyBorder="1" applyAlignment="1">
      <alignment horizontal="center" vertical="center"/>
    </xf>
    <xf numFmtId="0" fontId="3" fillId="7" borderId="139" xfId="0" applyFont="1" applyFill="1" applyBorder="1" applyAlignment="1">
      <alignment horizontal="center"/>
    </xf>
    <xf numFmtId="0" fontId="4" fillId="0" borderId="146" xfId="0" applyFont="1" applyBorder="1" applyAlignment="1">
      <alignment horizontal="center" vertical="center" shrinkToFit="1"/>
    </xf>
    <xf numFmtId="0" fontId="37" fillId="16" borderId="147" xfId="0" applyFont="1" applyFill="1" applyBorder="1" applyAlignment="1">
      <alignment horizontal="center" vertical="center"/>
    </xf>
    <xf numFmtId="0" fontId="37" fillId="16" borderId="148" xfId="0" applyFont="1" applyFill="1" applyBorder="1" applyAlignment="1">
      <alignment horizontal="center" vertical="center"/>
    </xf>
    <xf numFmtId="0" fontId="4" fillId="0" borderId="131" xfId="0" applyFont="1" applyBorder="1" applyAlignment="1">
      <alignment horizontal="center" vertical="center" shrinkToFit="1"/>
    </xf>
    <xf numFmtId="0" fontId="38" fillId="4" borderId="132" xfId="0" applyFont="1" applyFill="1" applyBorder="1" applyAlignment="1">
      <alignment horizontal="center"/>
    </xf>
    <xf numFmtId="0" fontId="3" fillId="19" borderId="129" xfId="0" applyFont="1" applyFill="1" applyBorder="1" applyAlignment="1">
      <alignment horizontal="center"/>
    </xf>
    <xf numFmtId="0" fontId="3" fillId="0" borderId="150" xfId="0" applyFont="1" applyBorder="1" applyAlignment="1">
      <alignment horizontal="center" vertical="center" shrinkToFit="1"/>
    </xf>
    <xf numFmtId="0" fontId="4" fillId="6" borderId="140" xfId="0" applyFont="1" applyFill="1" applyBorder="1" applyAlignment="1">
      <alignment horizontal="center" vertical="center" shrinkToFit="1"/>
    </xf>
    <xf numFmtId="0" fontId="4" fillId="0" borderId="133" xfId="0" applyFont="1" applyBorder="1" applyAlignment="1">
      <alignment horizontal="center" vertical="center" shrinkToFit="1"/>
    </xf>
    <xf numFmtId="0" fontId="37" fillId="16" borderId="145" xfId="0" applyFont="1" applyFill="1" applyBorder="1" applyAlignment="1">
      <alignment horizontal="center" vertical="center"/>
    </xf>
    <xf numFmtId="0" fontId="4" fillId="0" borderId="150" xfId="0" applyFont="1" applyBorder="1" applyAlignment="1">
      <alignment horizontal="center" vertical="center" shrinkToFit="1"/>
    </xf>
    <xf numFmtId="0" fontId="4" fillId="23" borderId="144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/>
    </xf>
    <xf numFmtId="0" fontId="4" fillId="0" borderId="144" xfId="0" applyFont="1" applyBorder="1" applyAlignment="1">
      <alignment horizontal="center" vertical="center" shrinkToFit="1"/>
    </xf>
    <xf numFmtId="0" fontId="4" fillId="0" borderId="143" xfId="0" applyFont="1" applyBorder="1" applyAlignment="1">
      <alignment horizontal="center" vertical="center" shrinkToFit="1"/>
    </xf>
    <xf numFmtId="0" fontId="37" fillId="0" borderId="3" xfId="0" applyFont="1" applyBorder="1" applyAlignment="1">
      <alignment horizontal="center" vertical="center"/>
    </xf>
    <xf numFmtId="0" fontId="37" fillId="17" borderId="147" xfId="0" applyFont="1" applyFill="1" applyBorder="1" applyAlignment="1">
      <alignment horizontal="center" vertical="center"/>
    </xf>
    <xf numFmtId="0" fontId="4" fillId="0" borderId="147" xfId="0" applyFont="1" applyBorder="1" applyAlignment="1">
      <alignment horizontal="center" vertical="center" shrinkToFit="1"/>
    </xf>
    <xf numFmtId="0" fontId="37" fillId="30" borderId="148" xfId="0" applyFont="1" applyFill="1" applyBorder="1" applyAlignment="1">
      <alignment horizontal="center" vertical="center"/>
    </xf>
    <xf numFmtId="0" fontId="4" fillId="0" borderId="149" xfId="0" applyFont="1" applyBorder="1" applyAlignment="1">
      <alignment horizontal="center" vertical="center" shrinkToFit="1"/>
    </xf>
    <xf numFmtId="0" fontId="37" fillId="24" borderId="145" xfId="0" applyFont="1" applyFill="1" applyBorder="1" applyAlignment="1">
      <alignment horizontal="center" vertical="center"/>
    </xf>
    <xf numFmtId="0" fontId="4" fillId="0" borderId="151" xfId="0" applyFont="1" applyBorder="1" applyAlignment="1">
      <alignment horizontal="center" vertical="center" shrinkToFit="1"/>
    </xf>
    <xf numFmtId="0" fontId="37" fillId="4" borderId="148" xfId="0" applyFont="1" applyFill="1" applyBorder="1" applyAlignment="1">
      <alignment horizontal="center" vertical="center"/>
    </xf>
    <xf numFmtId="0" fontId="3" fillId="0" borderId="142" xfId="0" applyFont="1" applyBorder="1" applyAlignment="1">
      <alignment horizontal="center" vertical="center" shrinkToFit="1"/>
    </xf>
    <xf numFmtId="0" fontId="5" fillId="16" borderId="152" xfId="0" applyFont="1" applyFill="1" applyBorder="1" applyAlignment="1">
      <alignment horizontal="center"/>
    </xf>
    <xf numFmtId="0" fontId="5" fillId="16" borderId="153" xfId="0" applyFont="1" applyFill="1" applyBorder="1" applyAlignment="1">
      <alignment horizontal="center"/>
    </xf>
    <xf numFmtId="0" fontId="5" fillId="16" borderId="33" xfId="0" applyFont="1" applyFill="1" applyBorder="1" applyAlignment="1">
      <alignment horizontal="center"/>
    </xf>
    <xf numFmtId="0" fontId="3" fillId="19" borderId="127" xfId="0" applyFont="1" applyFill="1" applyBorder="1" applyAlignment="1">
      <alignment horizontal="center"/>
    </xf>
    <xf numFmtId="0" fontId="3" fillId="21" borderId="127" xfId="0" applyFont="1" applyFill="1" applyBorder="1" applyAlignment="1">
      <alignment horizontal="center"/>
    </xf>
    <xf numFmtId="0" fontId="3" fillId="19" borderId="152" xfId="0" applyFont="1" applyFill="1" applyBorder="1" applyAlignment="1">
      <alignment horizontal="center"/>
    </xf>
    <xf numFmtId="0" fontId="5" fillId="16" borderId="155" xfId="0" applyFont="1" applyFill="1" applyBorder="1" applyAlignment="1">
      <alignment horizontal="center"/>
    </xf>
    <xf numFmtId="0" fontId="3" fillId="7" borderId="159" xfId="0" applyFont="1" applyFill="1" applyBorder="1" applyAlignment="1">
      <alignment horizontal="center"/>
    </xf>
    <xf numFmtId="0" fontId="38" fillId="31" borderId="22" xfId="0" applyFont="1" applyFill="1" applyBorder="1" applyAlignment="1">
      <alignment horizontal="center" vertical="center" shrinkToFit="1"/>
    </xf>
    <xf numFmtId="0" fontId="5" fillId="9" borderId="13" xfId="0" applyFont="1" applyFill="1" applyBorder="1" applyAlignment="1">
      <alignment horizontal="center"/>
    </xf>
    <xf numFmtId="0" fontId="38" fillId="4" borderId="54" xfId="0" applyFont="1" applyFill="1" applyBorder="1" applyAlignment="1">
      <alignment horizontal="center"/>
    </xf>
    <xf numFmtId="0" fontId="2" fillId="0" borderId="0" xfId="3"/>
    <xf numFmtId="0" fontId="39" fillId="0" borderId="0" xfId="3" applyFont="1"/>
    <xf numFmtId="0" fontId="8" fillId="0" borderId="0" xfId="3" applyFont="1"/>
    <xf numFmtId="166" fontId="8" fillId="0" borderId="0" xfId="3" applyNumberFormat="1" applyFont="1"/>
    <xf numFmtId="10" fontId="8" fillId="0" borderId="0" xfId="3" applyNumberFormat="1" applyFont="1"/>
    <xf numFmtId="9" fontId="8" fillId="0" borderId="0" xfId="3" applyNumberFormat="1" applyFont="1"/>
    <xf numFmtId="166" fontId="8" fillId="28" borderId="0" xfId="3" applyNumberFormat="1" applyFont="1" applyFill="1"/>
    <xf numFmtId="0" fontId="39" fillId="33" borderId="160" xfId="3" applyFont="1" applyFill="1" applyBorder="1"/>
    <xf numFmtId="0" fontId="8" fillId="33" borderId="161" xfId="3" applyFont="1" applyFill="1" applyBorder="1"/>
    <xf numFmtId="0" fontId="8" fillId="33" borderId="162" xfId="3" applyFont="1" applyFill="1" applyBorder="1"/>
    <xf numFmtId="0" fontId="39" fillId="33" borderId="163" xfId="3" applyFont="1" applyFill="1" applyBorder="1" applyAlignment="1">
      <alignment horizontal="center" vertical="center"/>
    </xf>
    <xf numFmtId="0" fontId="39" fillId="33" borderId="164" xfId="3" applyFont="1" applyFill="1" applyBorder="1" applyAlignment="1">
      <alignment horizontal="center"/>
    </xf>
    <xf numFmtId="0" fontId="39" fillId="33" borderId="164" xfId="3" applyFont="1" applyFill="1" applyBorder="1" applyAlignment="1">
      <alignment horizontal="center" wrapText="1"/>
    </xf>
    <xf numFmtId="0" fontId="39" fillId="33" borderId="165" xfId="3" applyFont="1" applyFill="1" applyBorder="1" applyAlignment="1">
      <alignment horizontal="center"/>
    </xf>
    <xf numFmtId="0" fontId="8" fillId="33" borderId="163" xfId="3" applyFont="1" applyFill="1" applyBorder="1"/>
    <xf numFmtId="0" fontId="8" fillId="33" borderId="164" xfId="3" applyFont="1" applyFill="1" applyBorder="1"/>
    <xf numFmtId="0" fontId="41" fillId="33" borderId="164" xfId="3" applyFont="1" applyFill="1" applyBorder="1"/>
    <xf numFmtId="2" fontId="8" fillId="33" borderId="164" xfId="3" applyNumberFormat="1" applyFont="1" applyFill="1" applyBorder="1"/>
    <xf numFmtId="10" fontId="8" fillId="33" borderId="164" xfId="3" applyNumberFormat="1" applyFont="1" applyFill="1" applyBorder="1"/>
    <xf numFmtId="167" fontId="8" fillId="33" borderId="164" xfId="3" applyNumberFormat="1" applyFont="1" applyFill="1" applyBorder="1"/>
    <xf numFmtId="167" fontId="8" fillId="33" borderId="165" xfId="3" applyNumberFormat="1" applyFont="1" applyFill="1" applyBorder="1"/>
    <xf numFmtId="0" fontId="8" fillId="33" borderId="163" xfId="3" applyFont="1" applyFill="1" applyBorder="1" applyAlignment="1">
      <alignment wrapText="1"/>
    </xf>
    <xf numFmtId="0" fontId="8" fillId="33" borderId="167" xfId="3" applyFont="1" applyFill="1" applyBorder="1"/>
    <xf numFmtId="0" fontId="8" fillId="33" borderId="168" xfId="3" applyFont="1" applyFill="1" applyBorder="1"/>
    <xf numFmtId="167" fontId="39" fillId="33" borderId="143" xfId="3" applyNumberFormat="1" applyFont="1" applyFill="1" applyBorder="1"/>
    <xf numFmtId="0" fontId="8" fillId="33" borderId="169" xfId="3" applyFont="1" applyFill="1" applyBorder="1"/>
    <xf numFmtId="0" fontId="8" fillId="33" borderId="170" xfId="3" applyFont="1" applyFill="1" applyBorder="1"/>
    <xf numFmtId="0" fontId="8" fillId="33" borderId="171" xfId="3" applyFont="1" applyFill="1" applyBorder="1"/>
    <xf numFmtId="0" fontId="8" fillId="33" borderId="166" xfId="3" applyFont="1" applyFill="1" applyBorder="1"/>
    <xf numFmtId="0" fontId="8" fillId="33" borderId="166" xfId="3" applyFont="1" applyFill="1" applyBorder="1" applyAlignment="1">
      <alignment horizontal="right"/>
    </xf>
    <xf numFmtId="167" fontId="8" fillId="33" borderId="172" xfId="3" applyNumberFormat="1" applyFont="1" applyFill="1" applyBorder="1"/>
    <xf numFmtId="16" fontId="8" fillId="33" borderId="167" xfId="3" applyNumberFormat="1" applyFont="1" applyFill="1" applyBorder="1"/>
    <xf numFmtId="0" fontId="8" fillId="33" borderId="174" xfId="3" applyFont="1" applyFill="1" applyBorder="1" applyAlignment="1">
      <alignment wrapText="1"/>
    </xf>
    <xf numFmtId="167" fontId="39" fillId="33" borderId="175" xfId="3" applyNumberFormat="1" applyFont="1" applyFill="1" applyBorder="1"/>
    <xf numFmtId="0" fontId="8" fillId="0" borderId="0" xfId="3" applyFont="1" applyAlignment="1">
      <alignment horizontal="right"/>
    </xf>
    <xf numFmtId="167" fontId="42" fillId="0" borderId="143" xfId="3" applyNumberFormat="1" applyFont="1" applyBorder="1"/>
    <xf numFmtId="0" fontId="25" fillId="0" borderId="0" xfId="3" quotePrefix="1" applyFont="1"/>
    <xf numFmtId="166" fontId="8" fillId="23" borderId="0" xfId="3" applyNumberFormat="1" applyFont="1" applyFill="1"/>
    <xf numFmtId="0" fontId="0" fillId="0" borderId="0" xfId="0" applyAlignment="1">
      <alignment horizontal="center" vertical="center"/>
    </xf>
    <xf numFmtId="0" fontId="8" fillId="33" borderId="160" xfId="3" applyFont="1" applyFill="1" applyBorder="1"/>
    <xf numFmtId="0" fontId="8" fillId="33" borderId="179" xfId="3" applyFont="1" applyFill="1" applyBorder="1"/>
    <xf numFmtId="0" fontId="41" fillId="33" borderId="166" xfId="3" applyFont="1" applyFill="1" applyBorder="1"/>
    <xf numFmtId="2" fontId="8" fillId="33" borderId="166" xfId="3" applyNumberFormat="1" applyFont="1" applyFill="1" applyBorder="1"/>
    <xf numFmtId="10" fontId="8" fillId="33" borderId="166" xfId="3" applyNumberFormat="1" applyFont="1" applyFill="1" applyBorder="1"/>
    <xf numFmtId="167" fontId="8" fillId="33" borderId="166" xfId="3" applyNumberFormat="1" applyFont="1" applyFill="1" applyBorder="1"/>
    <xf numFmtId="0" fontId="39" fillId="33" borderId="164" xfId="3" applyFont="1" applyFill="1" applyBorder="1" applyAlignment="1">
      <alignment horizontal="center" vertical="center"/>
    </xf>
    <xf numFmtId="0" fontId="39" fillId="33" borderId="164" xfId="3" applyFont="1" applyFill="1" applyBorder="1" applyAlignment="1">
      <alignment horizontal="center" vertical="center" wrapText="1"/>
    </xf>
    <xf numFmtId="0" fontId="39" fillId="33" borderId="165" xfId="3" applyFont="1" applyFill="1" applyBorder="1" applyAlignment="1">
      <alignment horizontal="center" vertical="center"/>
    </xf>
    <xf numFmtId="0" fontId="15" fillId="23" borderId="0" xfId="3" applyFont="1" applyFill="1" applyAlignment="1">
      <alignment horizontal="center" vertical="center"/>
    </xf>
    <xf numFmtId="0" fontId="1" fillId="0" borderId="0" xfId="0" applyFont="1"/>
    <xf numFmtId="0" fontId="3" fillId="7" borderId="100" xfId="0" applyFont="1" applyFill="1" applyBorder="1" applyAlignment="1">
      <alignment horizontal="center"/>
    </xf>
    <xf numFmtId="0" fontId="3" fillId="7" borderId="92" xfId="0" applyFont="1" applyFill="1" applyBorder="1" applyAlignment="1">
      <alignment horizontal="center"/>
    </xf>
    <xf numFmtId="0" fontId="4" fillId="19" borderId="22" xfId="0" applyFont="1" applyFill="1" applyBorder="1" applyAlignment="1">
      <alignment horizontal="center"/>
    </xf>
    <xf numFmtId="0" fontId="4" fillId="20" borderId="22" xfId="0" applyFont="1" applyFill="1" applyBorder="1" applyAlignment="1">
      <alignment horizontal="center" vertical="center" shrinkToFit="1"/>
    </xf>
    <xf numFmtId="0" fontId="4" fillId="20" borderId="0" xfId="0" applyFont="1" applyFill="1" applyAlignment="1">
      <alignment horizontal="center" vertical="center" shrinkToFit="1"/>
    </xf>
    <xf numFmtId="0" fontId="4" fillId="19" borderId="59" xfId="0" applyFont="1" applyFill="1" applyBorder="1" applyAlignment="1">
      <alignment horizontal="center"/>
    </xf>
    <xf numFmtId="0" fontId="4" fillId="19" borderId="99" xfId="0" applyFont="1" applyFill="1" applyBorder="1" applyAlignment="1">
      <alignment horizontal="center"/>
    </xf>
    <xf numFmtId="0" fontId="4" fillId="20" borderId="3" xfId="0" applyFont="1" applyFill="1" applyBorder="1" applyAlignment="1">
      <alignment horizontal="center" vertical="center" shrinkToFit="1"/>
    </xf>
    <xf numFmtId="0" fontId="4" fillId="20" borderId="20" xfId="0" applyFont="1" applyFill="1" applyBorder="1" applyAlignment="1">
      <alignment horizontal="center" vertical="center" shrinkToFit="1"/>
    </xf>
    <xf numFmtId="0" fontId="4" fillId="20" borderId="16" xfId="0" applyFont="1" applyFill="1" applyBorder="1" applyAlignment="1">
      <alignment horizontal="center" vertical="center" shrinkToFit="1"/>
    </xf>
    <xf numFmtId="0" fontId="4" fillId="19" borderId="10" xfId="0" applyFont="1" applyFill="1" applyBorder="1" applyAlignment="1">
      <alignment horizontal="center"/>
    </xf>
    <xf numFmtId="0" fontId="4" fillId="19" borderId="4" xfId="0" applyFont="1" applyFill="1" applyBorder="1" applyAlignment="1">
      <alignment horizontal="center"/>
    </xf>
    <xf numFmtId="0" fontId="4" fillId="19" borderId="58" xfId="0" applyFont="1" applyFill="1" applyBorder="1" applyAlignment="1">
      <alignment horizontal="center"/>
    </xf>
    <xf numFmtId="0" fontId="4" fillId="19" borderId="50" xfId="0" applyFont="1" applyFill="1" applyBorder="1" applyAlignment="1">
      <alignment horizontal="center"/>
    </xf>
    <xf numFmtId="0" fontId="4" fillId="19" borderId="3" xfId="0" applyFont="1" applyFill="1" applyBorder="1" applyAlignment="1">
      <alignment horizontal="center"/>
    </xf>
    <xf numFmtId="0" fontId="4" fillId="19" borderId="20" xfId="0" applyFont="1" applyFill="1" applyBorder="1" applyAlignment="1">
      <alignment horizontal="center"/>
    </xf>
    <xf numFmtId="0" fontId="11" fillId="16" borderId="20" xfId="0" applyFont="1" applyFill="1" applyBorder="1" applyAlignment="1">
      <alignment horizontal="center" vertical="center"/>
    </xf>
    <xf numFmtId="0" fontId="4" fillId="20" borderId="10" xfId="0" applyFont="1" applyFill="1" applyBorder="1" applyAlignment="1">
      <alignment horizontal="center" vertical="center" shrinkToFit="1"/>
    </xf>
    <xf numFmtId="0" fontId="4" fillId="20" borderId="4" xfId="0" applyFont="1" applyFill="1" applyBorder="1" applyAlignment="1">
      <alignment horizontal="center" vertical="center" shrinkToFit="1"/>
    </xf>
    <xf numFmtId="0" fontId="11" fillId="17" borderId="3" xfId="0" applyFont="1" applyFill="1" applyBorder="1" applyAlignment="1">
      <alignment horizontal="center" vertical="center"/>
    </xf>
    <xf numFmtId="0" fontId="10" fillId="25" borderId="20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56" xfId="0" applyFont="1" applyFill="1" applyBorder="1" applyAlignment="1">
      <alignment horizontal="center"/>
    </xf>
    <xf numFmtId="0" fontId="10" fillId="24" borderId="3" xfId="0" applyFont="1" applyFill="1" applyBorder="1" applyAlignment="1">
      <alignment horizontal="center" vertical="center"/>
    </xf>
    <xf numFmtId="0" fontId="10" fillId="25" borderId="3" xfId="0" applyFont="1" applyFill="1" applyBorder="1" applyAlignment="1">
      <alignment horizontal="center" vertical="center"/>
    </xf>
    <xf numFmtId="0" fontId="3" fillId="7" borderId="67" xfId="0" applyFont="1" applyFill="1" applyBorder="1" applyAlignment="1">
      <alignment horizontal="center"/>
    </xf>
    <xf numFmtId="2" fontId="8" fillId="33" borderId="180" xfId="3" applyNumberFormat="1" applyFont="1" applyFill="1" applyBorder="1"/>
    <xf numFmtId="0" fontId="4" fillId="29" borderId="25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4" fillId="20" borderId="41" xfId="0" applyFont="1" applyFill="1" applyBorder="1" applyAlignment="1">
      <alignment horizontal="center" vertical="center" shrinkToFit="1"/>
    </xf>
    <xf numFmtId="0" fontId="4" fillId="20" borderId="129" xfId="0" applyFont="1" applyFill="1" applyBorder="1" applyAlignment="1">
      <alignment horizontal="center" vertical="center" shrinkToFit="1"/>
    </xf>
    <xf numFmtId="0" fontId="4" fillId="20" borderId="141" xfId="0" applyFont="1" applyFill="1" applyBorder="1" applyAlignment="1">
      <alignment horizontal="center" vertical="center" shrinkToFit="1"/>
    </xf>
    <xf numFmtId="0" fontId="4" fillId="20" borderId="135" xfId="0" applyFont="1" applyFill="1" applyBorder="1" applyAlignment="1">
      <alignment horizontal="center" vertical="center" shrinkToFit="1"/>
    </xf>
    <xf numFmtId="0" fontId="4" fillId="29" borderId="23" xfId="0" applyFont="1" applyFill="1" applyBorder="1" applyAlignment="1">
      <alignment horizontal="center"/>
    </xf>
    <xf numFmtId="0" fontId="4" fillId="20" borderId="144" xfId="0" applyFont="1" applyFill="1" applyBorder="1" applyAlignment="1">
      <alignment horizontal="center" vertical="center" shrinkToFit="1"/>
    </xf>
    <xf numFmtId="0" fontId="4" fillId="20" borderId="143" xfId="0" applyFont="1" applyFill="1" applyBorder="1" applyAlignment="1">
      <alignment horizontal="center" vertical="center" shrinkToFit="1"/>
    </xf>
    <xf numFmtId="0" fontId="4" fillId="20" borderId="147" xfId="0" applyFont="1" applyFill="1" applyBorder="1" applyAlignment="1">
      <alignment horizontal="center" vertical="center" shrinkToFit="1"/>
    </xf>
    <xf numFmtId="0" fontId="4" fillId="20" borderId="149" xfId="0" applyFont="1" applyFill="1" applyBorder="1" applyAlignment="1">
      <alignment horizontal="center" vertical="center" shrinkToFit="1"/>
    </xf>
    <xf numFmtId="0" fontId="4" fillId="20" borderId="151" xfId="0" applyFont="1" applyFill="1" applyBorder="1" applyAlignment="1">
      <alignment horizontal="center" vertical="center" shrinkToFit="1"/>
    </xf>
    <xf numFmtId="0" fontId="4" fillId="20" borderId="140" xfId="0" applyFont="1" applyFill="1" applyBorder="1" applyAlignment="1">
      <alignment horizontal="center" vertical="center" shrinkToFit="1"/>
    </xf>
    <xf numFmtId="0" fontId="4" fillId="19" borderId="143" xfId="0" applyFont="1" applyFill="1" applyBorder="1" applyAlignment="1">
      <alignment horizontal="center"/>
    </xf>
    <xf numFmtId="0" fontId="4" fillId="20" borderId="127" xfId="0" applyFont="1" applyFill="1" applyBorder="1" applyAlignment="1">
      <alignment horizontal="center" vertical="center" shrinkToFit="1"/>
    </xf>
    <xf numFmtId="0" fontId="4" fillId="19" borderId="36" xfId="0" applyFont="1" applyFill="1" applyBorder="1" applyAlignment="1">
      <alignment horizontal="center"/>
    </xf>
    <xf numFmtId="0" fontId="3" fillId="19" borderId="36" xfId="0" applyFont="1" applyFill="1" applyBorder="1" applyAlignment="1">
      <alignment horizontal="center"/>
    </xf>
    <xf numFmtId="0" fontId="4" fillId="20" borderId="153" xfId="0" applyFont="1" applyFill="1" applyBorder="1" applyAlignment="1">
      <alignment horizontal="center" vertical="center" shrinkToFit="1"/>
    </xf>
    <xf numFmtId="0" fontId="4" fillId="20" borderId="154" xfId="0" applyFont="1" applyFill="1" applyBorder="1" applyAlignment="1">
      <alignment horizontal="center" vertical="center" shrinkToFit="1"/>
    </xf>
    <xf numFmtId="0" fontId="4" fillId="20" borderId="155" xfId="0" applyFont="1" applyFill="1" applyBorder="1" applyAlignment="1">
      <alignment horizontal="center" vertical="center" shrinkToFit="1"/>
    </xf>
    <xf numFmtId="0" fontId="4" fillId="20" borderId="156" xfId="0" applyFont="1" applyFill="1" applyBorder="1" applyAlignment="1">
      <alignment horizontal="center" vertical="center" shrinkToFit="1"/>
    </xf>
    <xf numFmtId="0" fontId="4" fillId="20" borderId="157" xfId="0" applyFont="1" applyFill="1" applyBorder="1" applyAlignment="1">
      <alignment horizontal="center" vertical="center" shrinkToFit="1"/>
    </xf>
    <xf numFmtId="0" fontId="4" fillId="20" borderId="158" xfId="0" applyFont="1" applyFill="1" applyBorder="1" applyAlignment="1">
      <alignment horizontal="center" vertical="center" shrinkToFit="1"/>
    </xf>
    <xf numFmtId="0" fontId="4" fillId="20" borderId="33" xfId="0" applyFont="1" applyFill="1" applyBorder="1" applyAlignment="1">
      <alignment horizontal="center" vertical="center" shrinkToFit="1"/>
    </xf>
    <xf numFmtId="0" fontId="4" fillId="29" borderId="72" xfId="0" applyFont="1" applyFill="1" applyBorder="1" applyAlignment="1">
      <alignment horizontal="center"/>
    </xf>
    <xf numFmtId="0" fontId="4" fillId="29" borderId="71" xfId="0" applyFont="1" applyFill="1" applyBorder="1" applyAlignment="1">
      <alignment horizontal="center"/>
    </xf>
    <xf numFmtId="0" fontId="4" fillId="19" borderId="127" xfId="0" applyFont="1" applyFill="1" applyBorder="1" applyAlignment="1">
      <alignment horizontal="center"/>
    </xf>
    <xf numFmtId="0" fontId="4" fillId="20" borderId="36" xfId="0" applyFont="1" applyFill="1" applyBorder="1" applyAlignment="1">
      <alignment horizontal="center" vertical="center" shrinkToFit="1"/>
    </xf>
    <xf numFmtId="0" fontId="4" fillId="20" borderId="152" xfId="0" applyFont="1" applyFill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/>
    </xf>
    <xf numFmtId="0" fontId="4" fillId="0" borderId="144" xfId="0" applyFont="1" applyBorder="1" applyAlignment="1">
      <alignment horizontal="center"/>
    </xf>
    <xf numFmtId="0" fontId="8" fillId="33" borderId="182" xfId="3" applyFont="1" applyFill="1" applyBorder="1"/>
    <xf numFmtId="0" fontId="8" fillId="33" borderId="183" xfId="3" applyFont="1" applyFill="1" applyBorder="1"/>
    <xf numFmtId="10" fontId="8" fillId="33" borderId="182" xfId="3" applyNumberFormat="1" applyFont="1" applyFill="1" applyBorder="1"/>
    <xf numFmtId="0" fontId="39" fillId="33" borderId="167" xfId="3" applyFont="1" applyFill="1" applyBorder="1" applyAlignment="1">
      <alignment horizontal="center"/>
    </xf>
    <xf numFmtId="0" fontId="8" fillId="33" borderId="164" xfId="3" applyFont="1" applyFill="1" applyBorder="1" applyAlignment="1">
      <alignment horizontal="center"/>
    </xf>
    <xf numFmtId="49" fontId="40" fillId="32" borderId="173" xfId="3" quotePrefix="1" applyNumberFormat="1" applyFont="1" applyFill="1" applyBorder="1" applyAlignment="1">
      <alignment horizontal="center"/>
    </xf>
    <xf numFmtId="49" fontId="40" fillId="32" borderId="173" xfId="3" applyNumberFormat="1" applyFont="1" applyFill="1" applyBorder="1" applyAlignment="1">
      <alignment horizontal="center"/>
    </xf>
    <xf numFmtId="0" fontId="13" fillId="10" borderId="24" xfId="0" applyFont="1" applyFill="1" applyBorder="1" applyAlignment="1">
      <alignment horizontal="left"/>
    </xf>
    <xf numFmtId="0" fontId="12" fillId="0" borderId="32" xfId="0" applyFont="1" applyBorder="1"/>
    <xf numFmtId="0" fontId="13" fillId="11" borderId="24" xfId="0" applyFont="1" applyFill="1" applyBorder="1" applyAlignment="1">
      <alignment horizontal="left"/>
    </xf>
    <xf numFmtId="14" fontId="22" fillId="0" borderId="108" xfId="0" applyNumberFormat="1" applyFont="1" applyBorder="1" applyAlignment="1">
      <alignment horizontal="left"/>
    </xf>
    <xf numFmtId="14" fontId="22" fillId="0" borderId="113" xfId="0" applyNumberFormat="1" applyFont="1" applyBorder="1" applyAlignment="1">
      <alignment horizontal="left"/>
    </xf>
    <xf numFmtId="14" fontId="22" fillId="0" borderId="109" xfId="0" applyNumberFormat="1" applyFont="1" applyBorder="1" applyAlignment="1">
      <alignment horizontal="left"/>
    </xf>
    <xf numFmtId="14" fontId="22" fillId="0" borderId="110" xfId="0" applyNumberFormat="1" applyFont="1" applyBorder="1" applyAlignment="1">
      <alignment horizontal="left"/>
    </xf>
    <xf numFmtId="14" fontId="22" fillId="0" borderId="114" xfId="0" applyNumberFormat="1" applyFont="1" applyBorder="1" applyAlignment="1">
      <alignment horizontal="left"/>
    </xf>
    <xf numFmtId="14" fontId="22" fillId="0" borderId="111" xfId="0" applyNumberFormat="1" applyFont="1" applyBorder="1" applyAlignment="1">
      <alignment horizontal="left"/>
    </xf>
    <xf numFmtId="0" fontId="6" fillId="0" borderId="108" xfId="0" applyFont="1" applyBorder="1" applyAlignment="1">
      <alignment horizontal="left" vertical="center" shrinkToFit="1"/>
    </xf>
    <xf numFmtId="0" fontId="6" fillId="0" borderId="109" xfId="0" applyFont="1" applyBorder="1" applyAlignment="1">
      <alignment horizontal="left" vertical="center" shrinkToFit="1"/>
    </xf>
    <xf numFmtId="0" fontId="6" fillId="0" borderId="110" xfId="0" applyFont="1" applyBorder="1" applyAlignment="1">
      <alignment horizontal="left" vertical="center" shrinkToFit="1"/>
    </xf>
    <xf numFmtId="0" fontId="6" fillId="0" borderId="111" xfId="0" applyFont="1" applyBorder="1" applyAlignment="1">
      <alignment horizontal="left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113" xfId="0" applyFont="1" applyBorder="1" applyAlignment="1">
      <alignment horizontal="left" vertical="center" shrinkToFit="1"/>
    </xf>
    <xf numFmtId="0" fontId="6" fillId="0" borderId="114" xfId="0" applyFont="1" applyBorder="1" applyAlignment="1">
      <alignment horizontal="left" vertical="center" shrinkToFit="1"/>
    </xf>
    <xf numFmtId="0" fontId="22" fillId="0" borderId="117" xfId="0" applyFont="1" applyBorder="1" applyAlignment="1">
      <alignment horizontal="left"/>
    </xf>
    <xf numFmtId="0" fontId="22" fillId="0" borderId="118" xfId="0" applyFont="1" applyBorder="1" applyAlignment="1">
      <alignment horizontal="left"/>
    </xf>
    <xf numFmtId="0" fontId="22" fillId="0" borderId="110" xfId="0" applyFont="1" applyBorder="1" applyAlignment="1">
      <alignment horizontal="left"/>
    </xf>
    <xf numFmtId="0" fontId="22" fillId="0" borderId="111" xfId="0" applyFont="1" applyBorder="1" applyAlignment="1">
      <alignment horizontal="left"/>
    </xf>
    <xf numFmtId="0" fontId="22" fillId="0" borderId="108" xfId="0" applyFont="1" applyBorder="1" applyAlignment="1">
      <alignment horizontal="left"/>
    </xf>
    <xf numFmtId="0" fontId="22" fillId="0" borderId="109" xfId="0" applyFont="1" applyBorder="1" applyAlignment="1">
      <alignment horizontal="left"/>
    </xf>
    <xf numFmtId="0" fontId="22" fillId="0" borderId="113" xfId="0" applyFont="1" applyBorder="1" applyAlignment="1">
      <alignment horizontal="left"/>
    </xf>
    <xf numFmtId="0" fontId="21" fillId="18" borderId="103" xfId="0" applyFont="1" applyFill="1" applyBorder="1"/>
    <xf numFmtId="0" fontId="21" fillId="18" borderId="105" xfId="0" applyFont="1" applyFill="1" applyBorder="1"/>
    <xf numFmtId="0" fontId="22" fillId="0" borderId="106" xfId="0" applyFont="1" applyBorder="1" applyAlignment="1">
      <alignment horizontal="left"/>
    </xf>
    <xf numFmtId="0" fontId="22" fillId="0" borderId="107" xfId="0" applyFont="1" applyBorder="1" applyAlignment="1">
      <alignment horizontal="left"/>
    </xf>
    <xf numFmtId="0" fontId="21" fillId="18" borderId="106" xfId="0" applyFont="1" applyFill="1" applyBorder="1"/>
    <xf numFmtId="0" fontId="21" fillId="18" borderId="112" xfId="0" applyFont="1" applyFill="1" applyBorder="1"/>
    <xf numFmtId="0" fontId="21" fillId="18" borderId="107" xfId="0" applyFont="1" applyFill="1" applyBorder="1"/>
    <xf numFmtId="0" fontId="22" fillId="0" borderId="115" xfId="0" applyFont="1" applyBorder="1"/>
    <xf numFmtId="0" fontId="22" fillId="0" borderId="116" xfId="0" applyFont="1" applyBorder="1"/>
    <xf numFmtId="0" fontId="21" fillId="18" borderId="104" xfId="0" applyFont="1" applyFill="1" applyBorder="1"/>
    <xf numFmtId="0" fontId="22" fillId="0" borderId="106" xfId="0" applyFont="1" applyBorder="1"/>
    <xf numFmtId="0" fontId="22" fillId="0" borderId="112" xfId="0" applyFont="1" applyBorder="1"/>
    <xf numFmtId="0" fontId="22" fillId="0" borderId="107" xfId="0" applyFont="1" applyBorder="1"/>
    <xf numFmtId="0" fontId="22" fillId="0" borderId="108" xfId="0" applyFont="1" applyBorder="1"/>
    <xf numFmtId="0" fontId="22" fillId="0" borderId="113" xfId="0" applyFont="1" applyBorder="1"/>
    <xf numFmtId="0" fontId="22" fillId="0" borderId="109" xfId="0" applyFont="1" applyBorder="1"/>
    <xf numFmtId="0" fontId="13" fillId="0" borderId="16" xfId="0" applyFont="1" applyBorder="1" applyAlignment="1">
      <alignment horizontal="center" vertical="center"/>
    </xf>
    <xf numFmtId="0" fontId="12" fillId="0" borderId="3" xfId="0" applyFont="1" applyBorder="1"/>
    <xf numFmtId="0" fontId="16" fillId="14" borderId="16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164" fontId="18" fillId="0" borderId="39" xfId="0" applyNumberFormat="1" applyFont="1" applyBorder="1" applyAlignment="1">
      <alignment horizontal="center" vertical="center"/>
    </xf>
    <xf numFmtId="164" fontId="12" fillId="0" borderId="39" xfId="0" applyNumberFormat="1" applyFont="1" applyBorder="1"/>
    <xf numFmtId="164" fontId="12" fillId="0" borderId="38" xfId="0" applyNumberFormat="1" applyFont="1" applyBorder="1"/>
    <xf numFmtId="17" fontId="17" fillId="15" borderId="40" xfId="0" applyNumberFormat="1" applyFont="1" applyFill="1" applyBorder="1" applyAlignment="1">
      <alignment horizontal="center" vertical="center" wrapText="1"/>
    </xf>
    <xf numFmtId="0" fontId="12" fillId="0" borderId="40" xfId="0" applyFont="1" applyBorder="1"/>
    <xf numFmtId="0" fontId="12" fillId="0" borderId="0" xfId="0" applyFont="1"/>
    <xf numFmtId="0" fontId="12" fillId="0" borderId="35" xfId="0" applyFont="1" applyBorder="1"/>
    <xf numFmtId="17" fontId="17" fillId="15" borderId="39" xfId="0" applyNumberFormat="1" applyFont="1" applyFill="1" applyBorder="1" applyAlignment="1">
      <alignment horizontal="center" vertical="center" wrapText="1"/>
    </xf>
    <xf numFmtId="0" fontId="12" fillId="0" borderId="39" xfId="0" applyFont="1" applyBorder="1"/>
    <xf numFmtId="0" fontId="12" fillId="0" borderId="38" xfId="0" applyFont="1" applyBorder="1"/>
    <xf numFmtId="0" fontId="16" fillId="5" borderId="16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11" borderId="16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32" fillId="0" borderId="124" xfId="0" applyFont="1" applyBorder="1" applyAlignment="1">
      <alignment horizontal="center" vertical="center" textRotation="255"/>
    </xf>
    <xf numFmtId="0" fontId="32" fillId="0" borderId="181" xfId="0" applyFont="1" applyBorder="1" applyAlignment="1">
      <alignment horizontal="center" vertical="center" textRotation="255"/>
    </xf>
    <xf numFmtId="0" fontId="32" fillId="0" borderId="125" xfId="0" applyFont="1" applyBorder="1" applyAlignment="1">
      <alignment horizontal="center" vertical="center" textRotation="255"/>
    </xf>
    <xf numFmtId="0" fontId="26" fillId="0" borderId="3" xfId="0" applyFont="1" applyBorder="1"/>
    <xf numFmtId="0" fontId="31" fillId="0" borderId="0" xfId="2" applyFont="1" applyAlignment="1">
      <alignment horizontal="center"/>
    </xf>
    <xf numFmtId="0" fontId="30" fillId="0" borderId="0" xfId="2" applyAlignment="1">
      <alignment horizontal="center"/>
    </xf>
    <xf numFmtId="49" fontId="40" fillId="32" borderId="176" xfId="3" quotePrefix="1" applyNumberFormat="1" applyFont="1" applyFill="1" applyBorder="1" applyAlignment="1">
      <alignment horizontal="center"/>
    </xf>
    <xf numFmtId="49" fontId="40" fillId="32" borderId="177" xfId="3" applyNumberFormat="1" applyFont="1" applyFill="1" applyBorder="1" applyAlignment="1">
      <alignment horizontal="center"/>
    </xf>
    <xf numFmtId="49" fontId="40" fillId="32" borderId="178" xfId="3" applyNumberFormat="1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wrapText="1"/>
    </xf>
    <xf numFmtId="0" fontId="16" fillId="3" borderId="16" xfId="0" applyFont="1" applyFill="1" applyBorder="1" applyAlignment="1">
      <alignment horizontal="center" vertical="center" wrapText="1"/>
    </xf>
    <xf numFmtId="0" fontId="16" fillId="11" borderId="16" xfId="0" applyFont="1" applyFill="1" applyBorder="1" applyAlignment="1">
      <alignment horizontal="center" vertical="center" wrapText="1"/>
    </xf>
    <xf numFmtId="0" fontId="16" fillId="27" borderId="16" xfId="0" applyFont="1" applyFill="1" applyBorder="1" applyAlignment="1">
      <alignment horizontal="center" vertical="center" wrapText="1"/>
    </xf>
    <xf numFmtId="0" fontId="12" fillId="28" borderId="3" xfId="0" applyFont="1" applyFill="1" applyBorder="1" applyAlignment="1">
      <alignment wrapText="1"/>
    </xf>
    <xf numFmtId="0" fontId="16" fillId="10" borderId="16" xfId="0" applyFont="1" applyFill="1" applyBorder="1" applyAlignment="1">
      <alignment horizontal="center" vertical="center" wrapText="1"/>
    </xf>
    <xf numFmtId="0" fontId="32" fillId="0" borderId="126" xfId="0" applyFont="1" applyBorder="1" applyAlignment="1">
      <alignment horizontal="center" vertical="center" textRotation="255"/>
    </xf>
    <xf numFmtId="0" fontId="12" fillId="0" borderId="3" xfId="0" applyFont="1" applyBorder="1" applyAlignment="1">
      <alignment horizontal="center"/>
    </xf>
  </cellXfs>
  <cellStyles count="5">
    <cellStyle name="Collegamento ipertestuale" xfId="2" builtinId="8"/>
    <cellStyle name="Excel Built-in Normal" xfId="4" xr:uid="{00000000-0005-0000-0000-000001000000}"/>
    <cellStyle name="Normale" xfId="0" builtinId="0"/>
    <cellStyle name="Normale 2" xfId="1" xr:uid="{00000000-0005-0000-0000-000003000000}"/>
    <cellStyle name="Normale 3" xfId="3" xr:uid="{00000000-0005-0000-0000-000004000000}"/>
  </cellStyles>
  <dxfs count="10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2" name="image1.png" descr="cid:image001.png@01D412F4.5E95C1E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3" name="image1.png" descr="cid:image001.png@01D412F4.5E95C1E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2" name="image1.png" descr="cid:image001.png@01D412F4.5E95C1E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3" name="image1.png" descr="cid:image001.png@01D412F4.5E95C1E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4" name="image1.png" descr="cid:image001.png@01D412F4.5E95C1E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5" name="image1.png" descr="cid:image001.png@01D412F4.5E95C1E0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10" name="image1.png" descr="cid:image001.png@01D412F4.5E95C1E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11" name="image1.png" descr="cid:image001.png@01D412F4.5E95C1E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12" name="image1.png" descr="cid:image001.png@01D412F4.5E95C1E0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13" name="image1.png" descr="cid:image001.png@01D412F4.5E95C1E0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2" name="image1.png" descr="cid:image001.png@01D412F4.5E95C1E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3" name="image1.png" descr="cid:image001.png@01D412F4.5E95C1E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4" name="image1.png" descr="cid:image001.png@01D412F4.5E95C1E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263979</xdr:colOff>
      <xdr:row>0</xdr:row>
      <xdr:rowOff>47625</xdr:rowOff>
    </xdr:from>
    <xdr:ext cx="2486025" cy="904875"/>
    <xdr:pic>
      <xdr:nvPicPr>
        <xdr:cNvPr id="5" name="image1.png" descr="cid:image001.png@01D412F4.5E95C1E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3979" y="47625"/>
          <a:ext cx="2486025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2" name="image1.png" descr="cid:image001.png@01D412F4.5E95C1E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2" name="image1.png" descr="cid:image001.png@01D412F4.5E95C1E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2" name="image1.png" descr="cid:image001.png@01D412F4.5E95C1E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157007</xdr:colOff>
      <xdr:row>0</xdr:row>
      <xdr:rowOff>0</xdr:rowOff>
    </xdr:from>
    <xdr:to>
      <xdr:col>0</xdr:col>
      <xdr:colOff>2643435</xdr:colOff>
      <xdr:row>4</xdr:row>
      <xdr:rowOff>179824</xdr:rowOff>
    </xdr:to>
    <xdr:pic>
      <xdr:nvPicPr>
        <xdr:cNvPr id="5" name="Immagine 4" descr="cid:image001.png@01D412F4.5E95C1E0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007" y="0"/>
          <a:ext cx="2486428" cy="911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157007</xdr:colOff>
      <xdr:row>0</xdr:row>
      <xdr:rowOff>0</xdr:rowOff>
    </xdr:from>
    <xdr:to>
      <xdr:col>0</xdr:col>
      <xdr:colOff>2647245</xdr:colOff>
      <xdr:row>4</xdr:row>
      <xdr:rowOff>170299</xdr:rowOff>
    </xdr:to>
    <xdr:pic>
      <xdr:nvPicPr>
        <xdr:cNvPr id="3" name="Immagine 2" descr="cid:image001.png@01D412F4.5E95C1E0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007" y="0"/>
          <a:ext cx="2486428" cy="911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2" name="image1.png" descr="cid:image001.png@01D412F4.5E95C1E0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2" name="image1.png" descr="cid:image001.png@01D412F4.5E95C1E0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157007</xdr:colOff>
      <xdr:row>0</xdr:row>
      <xdr:rowOff>0</xdr:rowOff>
    </xdr:from>
    <xdr:to>
      <xdr:col>0</xdr:col>
      <xdr:colOff>2647245</xdr:colOff>
      <xdr:row>4</xdr:row>
      <xdr:rowOff>170299</xdr:rowOff>
    </xdr:to>
    <xdr:pic>
      <xdr:nvPicPr>
        <xdr:cNvPr id="2" name="Immagine 1" descr="cid:image001.png@01D412F4.5E95C1E0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007" y="0"/>
          <a:ext cx="2486428" cy="911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157007</xdr:colOff>
      <xdr:row>0</xdr:row>
      <xdr:rowOff>0</xdr:rowOff>
    </xdr:from>
    <xdr:to>
      <xdr:col>0</xdr:col>
      <xdr:colOff>2647245</xdr:colOff>
      <xdr:row>4</xdr:row>
      <xdr:rowOff>170299</xdr:rowOff>
    </xdr:to>
    <xdr:pic>
      <xdr:nvPicPr>
        <xdr:cNvPr id="2" name="Immagine 1" descr="cid:image001.png@01D412F4.5E95C1E0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007" y="0"/>
          <a:ext cx="2486428" cy="911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2" name="image1.png" descr="cid:image001.png@01D412F4.5E95C1E0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47625</xdr:rowOff>
    </xdr:from>
    <xdr:ext cx="2486025" cy="904875"/>
    <xdr:pic>
      <xdr:nvPicPr>
        <xdr:cNvPr id="2" name="image1.png" descr="cid:image001.png@01D412F4.5E95C1E0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47625"/>
          <a:ext cx="2486025" cy="90487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residio Rai Milano" id="{676E8DB2-F30E-446E-9EE4-DAA9234555D8}" userId="S::presidioraimilano@manutencoop.it::167ac45d-2385-4729-a759-ea1bcc949c52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9" dT="2022-10-31T16:11:33.18" personId="{676E8DB2-F30E-446E-9EE4-DAA9234555D8}" id="{00342E0E-97E9-4746-9626-6D73E7308B64}">
    <text>Corso formazione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../OneDrive%20-%20MANUTENCOOP%20Facility%20Management%20S.p.A%20(1)/RAI_NEW/OPERAI%20RAI%20cartellini%20ore%202022.xlsx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2:Z58"/>
  <sheetViews>
    <sheetView zoomScale="50" zoomScaleNormal="50" workbookViewId="0">
      <pane ySplit="8" topLeftCell="A9" activePane="bottomLeft" state="frozen"/>
      <selection pane="bottomLeft" activeCell="S28" sqref="S28"/>
    </sheetView>
  </sheetViews>
  <sheetFormatPr defaultColWidth="14.44140625" defaultRowHeight="14.4" x14ac:dyDescent="0.3"/>
  <cols>
    <col min="1" max="2" width="21.6640625" customWidth="1"/>
    <col min="3" max="3" width="30.6640625" customWidth="1"/>
    <col min="4" max="4" width="14.44140625" customWidth="1"/>
    <col min="5" max="5" width="30.6640625" customWidth="1"/>
    <col min="6" max="6" width="14.44140625" customWidth="1"/>
    <col min="7" max="7" width="32.6640625" customWidth="1"/>
    <col min="8" max="8" width="15.5546875" customWidth="1"/>
    <col min="9" max="9" width="31.44140625" customWidth="1"/>
    <col min="10" max="10" width="14.6640625" customWidth="1"/>
    <col min="11" max="11" width="29.33203125" customWidth="1"/>
    <col min="12" max="12" width="15.5546875" customWidth="1"/>
    <col min="13" max="13" width="34.44140625" customWidth="1"/>
    <col min="14" max="14" width="15.5546875" customWidth="1"/>
    <col min="15" max="16" width="9.109375" customWidth="1"/>
    <col min="17" max="18" width="33.88671875" customWidth="1"/>
    <col min="19" max="19" width="67.44140625" customWidth="1"/>
    <col min="20" max="26" width="9.109375" customWidth="1"/>
  </cols>
  <sheetData>
    <row r="2" spans="1:26" ht="24" x14ac:dyDescent="0.45">
      <c r="A2" s="79"/>
      <c r="B2" s="79"/>
      <c r="C2" s="78"/>
      <c r="D2" s="79" t="s">
        <v>0</v>
      </c>
      <c r="E2" s="78"/>
      <c r="F2" s="79"/>
      <c r="G2" s="79"/>
      <c r="H2" s="78"/>
      <c r="I2" s="78"/>
      <c r="J2" s="78"/>
      <c r="K2" s="79"/>
      <c r="L2" s="78"/>
      <c r="M2" s="79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24" x14ac:dyDescent="0.45">
      <c r="A3" s="79"/>
      <c r="B3" s="79"/>
      <c r="C3" s="78"/>
      <c r="D3" s="79" t="s">
        <v>1</v>
      </c>
      <c r="E3" s="78"/>
      <c r="F3" s="79"/>
      <c r="G3" s="79"/>
      <c r="H3" s="78"/>
      <c r="I3" s="78"/>
      <c r="J3" s="78"/>
      <c r="K3" s="79"/>
      <c r="L3" s="78"/>
      <c r="M3" s="79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thickBot="1" x14ac:dyDescent="0.35"/>
    <row r="5" spans="1:26" ht="54.6" thickTop="1" thickBot="1" x14ac:dyDescent="0.35">
      <c r="A5" s="93" t="s">
        <v>2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5"/>
    </row>
    <row r="6" spans="1:26" ht="27" thickTop="1" thickBot="1" x14ac:dyDescent="0.35">
      <c r="A6" s="96" t="s">
        <v>3</v>
      </c>
      <c r="B6" s="97"/>
      <c r="C6" s="100"/>
      <c r="D6" s="94"/>
      <c r="E6" s="94"/>
      <c r="F6" s="94"/>
      <c r="G6" s="94"/>
      <c r="H6" s="94"/>
      <c r="I6" s="94"/>
      <c r="J6" s="94"/>
      <c r="K6" s="94"/>
      <c r="L6" s="94"/>
      <c r="M6" s="94"/>
      <c r="N6" s="95"/>
    </row>
    <row r="7" spans="1:26" ht="15" customHeight="1" thickTop="1" x14ac:dyDescent="0.3">
      <c r="A7" s="98"/>
      <c r="B7" s="98"/>
      <c r="C7" s="101" t="s">
        <v>4</v>
      </c>
      <c r="D7" s="103" t="s">
        <v>5</v>
      </c>
      <c r="E7" s="105" t="s">
        <v>6</v>
      </c>
      <c r="F7" s="103" t="s">
        <v>5</v>
      </c>
      <c r="G7" s="106" t="s">
        <v>7</v>
      </c>
      <c r="H7" s="103" t="s">
        <v>5</v>
      </c>
      <c r="I7" s="108" t="s">
        <v>8</v>
      </c>
      <c r="J7" s="103" t="s">
        <v>5</v>
      </c>
      <c r="K7" s="109" t="s">
        <v>9</v>
      </c>
      <c r="L7" s="103" t="s">
        <v>5</v>
      </c>
      <c r="M7" s="110" t="s">
        <v>10</v>
      </c>
      <c r="N7" s="103" t="s">
        <v>5</v>
      </c>
    </row>
    <row r="8" spans="1:26" ht="24" thickBot="1" x14ac:dyDescent="0.5">
      <c r="A8" s="99"/>
      <c r="B8" s="99"/>
      <c r="C8" s="102"/>
      <c r="D8" s="104"/>
      <c r="E8" s="102"/>
      <c r="F8" s="104"/>
      <c r="G8" s="107"/>
      <c r="H8" s="104"/>
      <c r="I8" s="102"/>
      <c r="J8" s="104"/>
      <c r="K8" s="104"/>
      <c r="L8" s="104"/>
      <c r="M8" s="102"/>
      <c r="N8" s="104"/>
      <c r="T8" s="78"/>
      <c r="U8" s="78"/>
      <c r="V8" s="78"/>
    </row>
    <row r="9" spans="1:26" ht="15" thickTop="1" x14ac:dyDescent="0.3"/>
    <row r="10" spans="1:26" ht="15" thickBot="1" x14ac:dyDescent="0.35"/>
    <row r="11" spans="1:26" ht="30" thickTop="1" thickBot="1" x14ac:dyDescent="0.6">
      <c r="A11" s="38">
        <v>1</v>
      </c>
      <c r="B11" s="38" t="s">
        <v>11</v>
      </c>
      <c r="C11" s="37" t="s">
        <v>12</v>
      </c>
      <c r="D11" s="31"/>
      <c r="E11" s="34" t="s">
        <v>13</v>
      </c>
      <c r="F11" s="31">
        <v>8</v>
      </c>
      <c r="G11" s="35" t="s">
        <v>14</v>
      </c>
      <c r="H11" s="31">
        <v>8</v>
      </c>
      <c r="I11" s="33" t="s">
        <v>15</v>
      </c>
      <c r="J11" s="31">
        <v>8</v>
      </c>
      <c r="K11" s="37" t="s">
        <v>12</v>
      </c>
      <c r="L11" s="31"/>
      <c r="M11" s="32" t="s">
        <v>16</v>
      </c>
      <c r="N11" s="31">
        <v>8</v>
      </c>
      <c r="Q11" s="77" t="s">
        <v>17</v>
      </c>
      <c r="R11" s="76" t="s">
        <v>18</v>
      </c>
      <c r="S11" s="75"/>
    </row>
    <row r="12" spans="1:26" ht="30" thickTop="1" thickBot="1" x14ac:dyDescent="0.6">
      <c r="A12" s="30">
        <v>2</v>
      </c>
      <c r="B12" s="30" t="s">
        <v>19</v>
      </c>
      <c r="C12" s="29" t="s">
        <v>12</v>
      </c>
      <c r="D12" s="25"/>
      <c r="E12" s="24" t="s">
        <v>12</v>
      </c>
      <c r="F12" s="62"/>
      <c r="G12" s="28" t="s">
        <v>14</v>
      </c>
      <c r="H12" s="25">
        <v>8</v>
      </c>
      <c r="I12" s="26" t="s">
        <v>15</v>
      </c>
      <c r="J12" s="25">
        <v>8</v>
      </c>
      <c r="K12" s="27" t="s">
        <v>13</v>
      </c>
      <c r="L12" s="25">
        <v>8</v>
      </c>
      <c r="M12" s="24" t="s">
        <v>12</v>
      </c>
      <c r="N12" s="58"/>
      <c r="Q12" s="74" t="s">
        <v>20</v>
      </c>
      <c r="R12" s="73" t="s">
        <v>21</v>
      </c>
      <c r="S12" s="72"/>
    </row>
    <row r="13" spans="1:26" ht="30" thickTop="1" thickBot="1" x14ac:dyDescent="0.6">
      <c r="A13" s="22">
        <v>3</v>
      </c>
      <c r="B13" s="22" t="s">
        <v>22</v>
      </c>
      <c r="C13" s="21" t="s">
        <v>15</v>
      </c>
      <c r="D13" s="15">
        <v>8</v>
      </c>
      <c r="E13" s="53" t="s">
        <v>13</v>
      </c>
      <c r="F13" s="52">
        <v>8</v>
      </c>
      <c r="G13" s="20" t="s">
        <v>14</v>
      </c>
      <c r="H13" s="17">
        <v>8</v>
      </c>
      <c r="I13" s="18" t="s">
        <v>12</v>
      </c>
      <c r="J13" s="17"/>
      <c r="K13" s="16" t="s">
        <v>12</v>
      </c>
      <c r="L13" s="19"/>
      <c r="M13" s="16" t="s">
        <v>12</v>
      </c>
      <c r="N13" s="57"/>
      <c r="Q13" s="71" t="s">
        <v>23</v>
      </c>
      <c r="R13" s="70" t="s">
        <v>24</v>
      </c>
      <c r="S13" s="69"/>
    </row>
    <row r="14" spans="1:26" ht="30" thickTop="1" thickBot="1" x14ac:dyDescent="0.6">
      <c r="A14" s="51">
        <v>4</v>
      </c>
      <c r="B14" s="50" t="s">
        <v>25</v>
      </c>
      <c r="C14" s="41" t="s">
        <v>15</v>
      </c>
      <c r="D14" s="46">
        <v>8</v>
      </c>
      <c r="E14" s="49" t="s">
        <v>14</v>
      </c>
      <c r="F14" s="46">
        <v>8</v>
      </c>
      <c r="G14" s="48" t="s">
        <v>12</v>
      </c>
      <c r="H14" s="46"/>
      <c r="I14" s="42" t="s">
        <v>13</v>
      </c>
      <c r="J14" s="46">
        <v>8</v>
      </c>
      <c r="K14" s="47" t="s">
        <v>16</v>
      </c>
      <c r="L14" s="46">
        <v>8</v>
      </c>
      <c r="M14" s="89" t="s">
        <v>16</v>
      </c>
      <c r="N14" s="88">
        <v>8</v>
      </c>
      <c r="Q14" s="68" t="s">
        <v>26</v>
      </c>
      <c r="R14" s="67" t="s">
        <v>27</v>
      </c>
      <c r="S14" s="66"/>
    </row>
    <row r="15" spans="1:26" ht="30" thickTop="1" thickBot="1" x14ac:dyDescent="0.6">
      <c r="A15" s="44">
        <v>5</v>
      </c>
      <c r="B15" s="44" t="s">
        <v>28</v>
      </c>
      <c r="C15" s="41" t="s">
        <v>15</v>
      </c>
      <c r="D15" s="39">
        <v>8</v>
      </c>
      <c r="E15" s="43" t="s">
        <v>14</v>
      </c>
      <c r="F15" s="39">
        <v>8</v>
      </c>
      <c r="G15" s="36" t="s">
        <v>12</v>
      </c>
      <c r="H15" s="39"/>
      <c r="I15" s="45" t="s">
        <v>13</v>
      </c>
      <c r="J15" s="39">
        <v>8</v>
      </c>
      <c r="K15" s="40" t="s">
        <v>16</v>
      </c>
      <c r="L15" s="39">
        <v>8</v>
      </c>
      <c r="M15" s="7" t="s">
        <v>16</v>
      </c>
      <c r="N15" s="87">
        <v>8</v>
      </c>
      <c r="Q15" s="65" t="s">
        <v>29</v>
      </c>
      <c r="R15" s="612" t="s">
        <v>30</v>
      </c>
      <c r="S15" s="611"/>
    </row>
    <row r="16" spans="1:26" ht="30" thickTop="1" thickBot="1" x14ac:dyDescent="0.6">
      <c r="A16" s="44">
        <v>6</v>
      </c>
      <c r="B16" s="44" t="s">
        <v>31</v>
      </c>
      <c r="C16" s="36" t="s">
        <v>12</v>
      </c>
      <c r="D16" s="39"/>
      <c r="E16" s="43" t="s">
        <v>14</v>
      </c>
      <c r="F16" s="39">
        <v>8</v>
      </c>
      <c r="G16" s="41" t="s">
        <v>15</v>
      </c>
      <c r="H16" s="39">
        <v>8</v>
      </c>
      <c r="I16" s="45" t="s">
        <v>13</v>
      </c>
      <c r="J16" s="39">
        <v>8</v>
      </c>
      <c r="K16" s="40" t="s">
        <v>16</v>
      </c>
      <c r="L16" s="39">
        <v>8</v>
      </c>
      <c r="M16" s="36" t="s">
        <v>32</v>
      </c>
      <c r="N16" s="39"/>
      <c r="Q16" s="64" t="s">
        <v>33</v>
      </c>
      <c r="R16" s="610" t="s">
        <v>34</v>
      </c>
      <c r="S16" s="611"/>
    </row>
    <row r="17" spans="1:20" ht="27" thickTop="1" thickBot="1" x14ac:dyDescent="0.45">
      <c r="A17" s="44">
        <v>7</v>
      </c>
      <c r="B17" s="44" t="s">
        <v>35</v>
      </c>
      <c r="C17" s="36" t="s">
        <v>12</v>
      </c>
      <c r="D17" s="39"/>
      <c r="E17" s="43" t="s">
        <v>14</v>
      </c>
      <c r="F17" s="39">
        <v>8</v>
      </c>
      <c r="G17" s="41" t="s">
        <v>15</v>
      </c>
      <c r="H17" s="39">
        <v>8</v>
      </c>
      <c r="I17" s="42" t="s">
        <v>13</v>
      </c>
      <c r="J17" s="39">
        <v>8</v>
      </c>
      <c r="K17" s="40" t="s">
        <v>16</v>
      </c>
      <c r="L17" s="39">
        <v>8</v>
      </c>
      <c r="M17" s="36" t="s">
        <v>12</v>
      </c>
      <c r="N17" s="39"/>
    </row>
    <row r="18" spans="1:20" ht="27" thickTop="1" thickBot="1" x14ac:dyDescent="0.45">
      <c r="A18" s="38">
        <v>8</v>
      </c>
      <c r="B18" s="38" t="s">
        <v>11</v>
      </c>
      <c r="C18" s="35" t="s">
        <v>14</v>
      </c>
      <c r="D18" s="31">
        <v>8</v>
      </c>
      <c r="E18" s="37" t="s">
        <v>12</v>
      </c>
      <c r="F18" s="31"/>
      <c r="G18" s="33" t="s">
        <v>15</v>
      </c>
      <c r="H18" s="31">
        <v>8</v>
      </c>
      <c r="I18" s="37" t="s">
        <v>12</v>
      </c>
      <c r="J18" s="31"/>
      <c r="K18" s="32" t="s">
        <v>16</v>
      </c>
      <c r="L18" s="31">
        <v>8</v>
      </c>
      <c r="M18" s="34" t="s">
        <v>13</v>
      </c>
      <c r="N18" s="31">
        <v>8</v>
      </c>
    </row>
    <row r="19" spans="1:20" ht="27.6" thickTop="1" thickBot="1" x14ac:dyDescent="0.55000000000000004">
      <c r="A19" s="30">
        <v>9</v>
      </c>
      <c r="B19" s="30" t="s">
        <v>19</v>
      </c>
      <c r="C19" s="28" t="s">
        <v>14</v>
      </c>
      <c r="D19" s="25">
        <v>8</v>
      </c>
      <c r="E19" s="92" t="s">
        <v>12</v>
      </c>
      <c r="F19" s="25"/>
      <c r="G19" s="26" t="s">
        <v>15</v>
      </c>
      <c r="H19" s="25">
        <v>8</v>
      </c>
      <c r="I19" s="24" t="s">
        <v>12</v>
      </c>
      <c r="J19" s="25"/>
      <c r="K19" s="27" t="s">
        <v>13</v>
      </c>
      <c r="L19" s="25">
        <v>8</v>
      </c>
      <c r="M19" s="63" t="s">
        <v>12</v>
      </c>
      <c r="N19" s="62"/>
      <c r="P19" s="11"/>
      <c r="Q19" s="11"/>
      <c r="R19" s="11"/>
      <c r="S19" s="11"/>
    </row>
    <row r="20" spans="1:20" ht="27.6" thickTop="1" thickBot="1" x14ac:dyDescent="0.55000000000000004">
      <c r="A20" s="22">
        <v>10</v>
      </c>
      <c r="B20" s="22" t="s">
        <v>22</v>
      </c>
      <c r="C20" s="20" t="s">
        <v>14</v>
      </c>
      <c r="D20" s="17">
        <v>8</v>
      </c>
      <c r="E20" s="18" t="s">
        <v>12</v>
      </c>
      <c r="F20" s="15"/>
      <c r="G20" s="18" t="s">
        <v>12</v>
      </c>
      <c r="H20" s="17"/>
      <c r="I20" s="53" t="s">
        <v>13</v>
      </c>
      <c r="J20" s="17">
        <v>8</v>
      </c>
      <c r="K20" s="61" t="s">
        <v>12</v>
      </c>
      <c r="L20" s="15"/>
      <c r="M20" s="21" t="s">
        <v>15</v>
      </c>
      <c r="N20" s="57">
        <v>8</v>
      </c>
      <c r="P20" s="11"/>
      <c r="Q20" s="11"/>
      <c r="R20" s="11"/>
      <c r="S20" s="10"/>
    </row>
    <row r="21" spans="1:20" ht="27" thickTop="1" thickBot="1" x14ac:dyDescent="0.45">
      <c r="A21" s="51">
        <v>11</v>
      </c>
      <c r="B21" s="50" t="s">
        <v>25</v>
      </c>
      <c r="C21" s="48" t="s">
        <v>12</v>
      </c>
      <c r="D21" s="46"/>
      <c r="E21" s="48" t="s">
        <v>32</v>
      </c>
      <c r="F21" s="46"/>
      <c r="G21" s="42" t="s">
        <v>13</v>
      </c>
      <c r="H21" s="46">
        <v>8</v>
      </c>
      <c r="I21" s="49" t="s">
        <v>14</v>
      </c>
      <c r="J21" s="46">
        <v>8</v>
      </c>
      <c r="K21" s="47" t="s">
        <v>16</v>
      </c>
      <c r="L21" s="46">
        <v>8</v>
      </c>
      <c r="M21" s="41" t="s">
        <v>15</v>
      </c>
      <c r="N21" s="46">
        <v>8</v>
      </c>
    </row>
    <row r="22" spans="1:20" ht="27.6" thickTop="1" thickBot="1" x14ac:dyDescent="0.55000000000000004">
      <c r="A22" s="44">
        <v>12</v>
      </c>
      <c r="B22" s="44" t="s">
        <v>28</v>
      </c>
      <c r="C22" s="36" t="s">
        <v>12</v>
      </c>
      <c r="D22" s="39"/>
      <c r="E22" s="36" t="s">
        <v>32</v>
      </c>
      <c r="F22" s="39"/>
      <c r="G22" s="45" t="s">
        <v>13</v>
      </c>
      <c r="H22" s="39">
        <v>8</v>
      </c>
      <c r="I22" s="43" t="s">
        <v>14</v>
      </c>
      <c r="J22" s="39">
        <v>8</v>
      </c>
      <c r="K22" s="40" t="s">
        <v>16</v>
      </c>
      <c r="L22" s="39">
        <v>8</v>
      </c>
      <c r="M22" s="41" t="s">
        <v>15</v>
      </c>
      <c r="N22" s="39">
        <v>8</v>
      </c>
      <c r="R22" s="11"/>
      <c r="S22" s="10"/>
    </row>
    <row r="23" spans="1:20" ht="27.6" thickTop="1" thickBot="1" x14ac:dyDescent="0.55000000000000004">
      <c r="A23" s="44">
        <v>13</v>
      </c>
      <c r="B23" s="44" t="s">
        <v>31</v>
      </c>
      <c r="C23" s="36" t="s">
        <v>32</v>
      </c>
      <c r="D23" s="39"/>
      <c r="E23" s="41" t="s">
        <v>15</v>
      </c>
      <c r="F23" s="39">
        <v>8</v>
      </c>
      <c r="G23" s="45" t="s">
        <v>13</v>
      </c>
      <c r="H23" s="39">
        <v>8</v>
      </c>
      <c r="I23" s="43" t="s">
        <v>14</v>
      </c>
      <c r="J23" s="39">
        <v>8</v>
      </c>
      <c r="K23" s="40" t="s">
        <v>16</v>
      </c>
      <c r="L23" s="39">
        <v>8</v>
      </c>
      <c r="M23" s="36" t="s">
        <v>12</v>
      </c>
      <c r="N23" s="39"/>
      <c r="Q23" s="60" t="s">
        <v>36</v>
      </c>
      <c r="R23" s="11"/>
      <c r="S23" s="10"/>
    </row>
    <row r="24" spans="1:20" ht="27.6" thickTop="1" thickBot="1" x14ac:dyDescent="0.55000000000000004">
      <c r="A24" s="44">
        <v>14</v>
      </c>
      <c r="B24" s="44" t="s">
        <v>35</v>
      </c>
      <c r="C24" s="36" t="s">
        <v>32</v>
      </c>
      <c r="D24" s="39"/>
      <c r="E24" s="41" t="s">
        <v>15</v>
      </c>
      <c r="F24" s="39">
        <v>8</v>
      </c>
      <c r="G24" s="42" t="s">
        <v>13</v>
      </c>
      <c r="H24" s="39">
        <v>8</v>
      </c>
      <c r="I24" s="43" t="s">
        <v>14</v>
      </c>
      <c r="J24" s="39">
        <v>8</v>
      </c>
      <c r="K24" s="40" t="s">
        <v>16</v>
      </c>
      <c r="L24" s="39">
        <v>8</v>
      </c>
      <c r="M24" s="55" t="s">
        <v>37</v>
      </c>
      <c r="N24" s="39">
        <v>8</v>
      </c>
      <c r="R24" s="11"/>
      <c r="S24" s="10"/>
    </row>
    <row r="25" spans="1:20" ht="27.6" thickTop="1" thickBot="1" x14ac:dyDescent="0.55000000000000004">
      <c r="A25" s="38">
        <v>15</v>
      </c>
      <c r="B25" s="38" t="s">
        <v>11</v>
      </c>
      <c r="C25" s="33" t="s">
        <v>15</v>
      </c>
      <c r="D25" s="31">
        <v>8</v>
      </c>
      <c r="E25" s="37" t="s">
        <v>32</v>
      </c>
      <c r="F25" s="31"/>
      <c r="G25" s="34" t="s">
        <v>13</v>
      </c>
      <c r="H25" s="31">
        <v>8</v>
      </c>
      <c r="I25" s="37" t="s">
        <v>12</v>
      </c>
      <c r="J25" s="31"/>
      <c r="K25" s="32" t="s">
        <v>16</v>
      </c>
      <c r="L25" s="31">
        <v>8</v>
      </c>
      <c r="M25" s="35" t="s">
        <v>14</v>
      </c>
      <c r="N25" s="31">
        <v>8</v>
      </c>
      <c r="Q25" s="59" t="s">
        <v>38</v>
      </c>
      <c r="R25" s="11"/>
      <c r="S25" s="10"/>
    </row>
    <row r="26" spans="1:20" ht="27.6" thickTop="1" thickBot="1" x14ac:dyDescent="0.55000000000000004">
      <c r="A26" s="30">
        <v>16</v>
      </c>
      <c r="B26" s="30" t="s">
        <v>19</v>
      </c>
      <c r="C26" s="26" t="s">
        <v>15</v>
      </c>
      <c r="D26" s="25">
        <v>8</v>
      </c>
      <c r="E26" s="90" t="s">
        <v>12</v>
      </c>
      <c r="F26" s="25"/>
      <c r="G26" s="24" t="s">
        <v>12</v>
      </c>
      <c r="H26" s="25"/>
      <c r="I26" s="29" t="s">
        <v>12</v>
      </c>
      <c r="J26" s="25"/>
      <c r="K26" s="27" t="s">
        <v>13</v>
      </c>
      <c r="L26" s="25">
        <v>8</v>
      </c>
      <c r="M26" s="28" t="s">
        <v>14</v>
      </c>
      <c r="N26" s="25">
        <v>8</v>
      </c>
      <c r="R26" s="14"/>
      <c r="S26" s="10"/>
    </row>
    <row r="27" spans="1:20" ht="27.6" thickTop="1" thickBot="1" x14ac:dyDescent="0.55000000000000004">
      <c r="A27" s="22">
        <v>17</v>
      </c>
      <c r="B27" s="22" t="s">
        <v>22</v>
      </c>
      <c r="C27" s="18" t="s">
        <v>12</v>
      </c>
      <c r="D27" s="17"/>
      <c r="E27" s="91" t="s">
        <v>12</v>
      </c>
      <c r="F27" s="17"/>
      <c r="G27" s="53" t="s">
        <v>13</v>
      </c>
      <c r="H27" s="17">
        <v>8</v>
      </c>
      <c r="I27" s="21" t="s">
        <v>15</v>
      </c>
      <c r="J27" s="15">
        <v>8</v>
      </c>
      <c r="K27" s="16" t="s">
        <v>12</v>
      </c>
      <c r="L27" s="19"/>
      <c r="M27" s="20" t="s">
        <v>14</v>
      </c>
      <c r="N27" s="17">
        <v>8</v>
      </c>
      <c r="Q27" s="56" t="s">
        <v>39</v>
      </c>
      <c r="R27" s="11"/>
      <c r="S27" s="10"/>
    </row>
    <row r="28" spans="1:20" ht="27.6" thickTop="1" thickBot="1" x14ac:dyDescent="0.55000000000000004">
      <c r="A28" s="51">
        <v>18</v>
      </c>
      <c r="B28" s="50" t="s">
        <v>25</v>
      </c>
      <c r="C28" s="42" t="s">
        <v>13</v>
      </c>
      <c r="D28" s="46">
        <v>8</v>
      </c>
      <c r="E28" s="48" t="s">
        <v>32</v>
      </c>
      <c r="F28" s="46"/>
      <c r="G28" s="49" t="s">
        <v>14</v>
      </c>
      <c r="H28" s="46">
        <v>8</v>
      </c>
      <c r="I28" s="41" t="s">
        <v>15</v>
      </c>
      <c r="J28" s="46">
        <v>8</v>
      </c>
      <c r="K28" s="47" t="s">
        <v>16</v>
      </c>
      <c r="L28" s="46">
        <v>8</v>
      </c>
      <c r="M28" s="48" t="s">
        <v>12</v>
      </c>
      <c r="N28" s="46"/>
      <c r="R28" s="11"/>
      <c r="S28" s="10"/>
    </row>
    <row r="29" spans="1:20" ht="27.6" thickTop="1" thickBot="1" x14ac:dyDescent="0.55000000000000004">
      <c r="A29" s="44">
        <v>19</v>
      </c>
      <c r="B29" s="44" t="s">
        <v>28</v>
      </c>
      <c r="C29" s="45" t="s">
        <v>13</v>
      </c>
      <c r="D29" s="39">
        <v>8</v>
      </c>
      <c r="E29" s="36" t="s">
        <v>32</v>
      </c>
      <c r="F29" s="39"/>
      <c r="G29" s="43" t="s">
        <v>14</v>
      </c>
      <c r="H29" s="39">
        <v>8</v>
      </c>
      <c r="I29" s="41" t="s">
        <v>15</v>
      </c>
      <c r="J29" s="39">
        <v>8</v>
      </c>
      <c r="K29" s="40" t="s">
        <v>16</v>
      </c>
      <c r="L29" s="39">
        <v>8</v>
      </c>
      <c r="M29" s="36" t="s">
        <v>12</v>
      </c>
      <c r="N29" s="39"/>
      <c r="Q29" s="55" t="s">
        <v>37</v>
      </c>
      <c r="R29" s="11"/>
      <c r="S29" s="10"/>
    </row>
    <row r="30" spans="1:20" ht="27.6" thickTop="1" thickBot="1" x14ac:dyDescent="0.55000000000000004">
      <c r="A30" s="44">
        <v>20</v>
      </c>
      <c r="B30" s="44" t="s">
        <v>31</v>
      </c>
      <c r="C30" s="45" t="s">
        <v>13</v>
      </c>
      <c r="D30" s="39">
        <v>8</v>
      </c>
      <c r="E30" s="36" t="s">
        <v>32</v>
      </c>
      <c r="F30" s="39"/>
      <c r="G30" s="36" t="s">
        <v>40</v>
      </c>
      <c r="H30" s="39"/>
      <c r="I30" s="41" t="s">
        <v>15</v>
      </c>
      <c r="J30" s="39">
        <v>8</v>
      </c>
      <c r="K30" s="36" t="s">
        <v>12</v>
      </c>
      <c r="L30" s="39"/>
      <c r="M30" s="40" t="s">
        <v>16</v>
      </c>
      <c r="N30" s="39">
        <v>8</v>
      </c>
      <c r="R30" s="11"/>
      <c r="S30" s="10"/>
      <c r="T30" s="10"/>
    </row>
    <row r="31" spans="1:20" ht="27.6" thickTop="1" thickBot="1" x14ac:dyDescent="0.55000000000000004">
      <c r="A31" s="44">
        <v>21</v>
      </c>
      <c r="B31" s="44" t="s">
        <v>35</v>
      </c>
      <c r="C31" s="42" t="s">
        <v>13</v>
      </c>
      <c r="D31" s="39">
        <v>8</v>
      </c>
      <c r="E31" s="36" t="s">
        <v>32</v>
      </c>
      <c r="F31" s="39"/>
      <c r="G31" s="36" t="s">
        <v>40</v>
      </c>
      <c r="H31" s="39"/>
      <c r="I31" s="35" t="s">
        <v>14</v>
      </c>
      <c r="J31" s="39">
        <v>8</v>
      </c>
      <c r="K31" s="41" t="s">
        <v>15</v>
      </c>
      <c r="L31" s="39">
        <v>8</v>
      </c>
      <c r="M31" s="40" t="s">
        <v>16</v>
      </c>
      <c r="N31" s="39">
        <v>8</v>
      </c>
      <c r="R31" s="11"/>
      <c r="S31" s="10"/>
      <c r="T31" s="10"/>
    </row>
    <row r="32" spans="1:20" ht="27.6" thickTop="1" thickBot="1" x14ac:dyDescent="0.55000000000000004">
      <c r="A32" s="38">
        <v>22</v>
      </c>
      <c r="B32" s="38" t="s">
        <v>11</v>
      </c>
      <c r="C32" s="34" t="s">
        <v>13</v>
      </c>
      <c r="D32" s="31">
        <v>8</v>
      </c>
      <c r="E32" s="36" t="s">
        <v>32</v>
      </c>
      <c r="F32" s="31"/>
      <c r="G32" s="37" t="s">
        <v>40</v>
      </c>
      <c r="H32" s="31"/>
      <c r="I32" s="35" t="s">
        <v>14</v>
      </c>
      <c r="J32" s="31">
        <v>8</v>
      </c>
      <c r="K32" s="33" t="s">
        <v>15</v>
      </c>
      <c r="L32" s="31">
        <v>8</v>
      </c>
      <c r="M32" s="32" t="s">
        <v>16</v>
      </c>
      <c r="N32" s="31">
        <v>8</v>
      </c>
      <c r="Q32" s="54" t="s">
        <v>12</v>
      </c>
      <c r="R32" s="11"/>
      <c r="S32" s="10"/>
      <c r="T32" s="10"/>
    </row>
    <row r="33" spans="1:20" ht="27.6" thickTop="1" thickBot="1" x14ac:dyDescent="0.55000000000000004">
      <c r="A33" s="30">
        <v>23</v>
      </c>
      <c r="B33" s="30" t="s">
        <v>19</v>
      </c>
      <c r="C33" s="24" t="s">
        <v>12</v>
      </c>
      <c r="D33" s="25"/>
      <c r="E33" s="90" t="s">
        <v>12</v>
      </c>
      <c r="F33" s="25"/>
      <c r="G33" s="29" t="s">
        <v>40</v>
      </c>
      <c r="H33" s="25"/>
      <c r="I33" s="28" t="s">
        <v>14</v>
      </c>
      <c r="J33" s="25">
        <v>8</v>
      </c>
      <c r="K33" s="26" t="s">
        <v>15</v>
      </c>
      <c r="L33" s="25">
        <v>8</v>
      </c>
      <c r="M33" s="27" t="s">
        <v>13</v>
      </c>
      <c r="N33" s="25">
        <v>8</v>
      </c>
      <c r="R33" s="11"/>
      <c r="S33" s="10"/>
      <c r="T33" s="10"/>
    </row>
    <row r="34" spans="1:20" ht="27.6" thickTop="1" thickBot="1" x14ac:dyDescent="0.55000000000000004">
      <c r="A34" s="22">
        <v>24</v>
      </c>
      <c r="B34" s="22" t="s">
        <v>22</v>
      </c>
      <c r="C34" s="53" t="s">
        <v>13</v>
      </c>
      <c r="D34" s="52">
        <v>8</v>
      </c>
      <c r="E34" s="91" t="s">
        <v>12</v>
      </c>
      <c r="F34" s="17"/>
      <c r="G34" s="36" t="s">
        <v>40</v>
      </c>
      <c r="H34" s="15"/>
      <c r="I34" s="20" t="s">
        <v>14</v>
      </c>
      <c r="J34" s="17">
        <v>8</v>
      </c>
      <c r="K34" s="26" t="s">
        <v>15</v>
      </c>
      <c r="L34" s="15">
        <v>8</v>
      </c>
      <c r="M34" s="16" t="s">
        <v>12</v>
      </c>
      <c r="N34" s="19"/>
      <c r="R34" s="14"/>
      <c r="S34" s="10"/>
      <c r="T34" s="10"/>
    </row>
    <row r="35" spans="1:20" ht="27.6" thickTop="1" thickBot="1" x14ac:dyDescent="0.55000000000000004">
      <c r="A35" s="51">
        <v>25</v>
      </c>
      <c r="B35" s="50" t="s">
        <v>25</v>
      </c>
      <c r="C35" s="49" t="s">
        <v>14</v>
      </c>
      <c r="D35" s="46">
        <v>8</v>
      </c>
      <c r="E35" s="29" t="s">
        <v>32</v>
      </c>
      <c r="F35" s="46"/>
      <c r="G35" s="36" t="s">
        <v>40</v>
      </c>
      <c r="H35" s="46"/>
      <c r="I35" s="48" t="s">
        <v>12</v>
      </c>
      <c r="J35" s="46"/>
      <c r="K35" s="26" t="s">
        <v>15</v>
      </c>
      <c r="L35" s="25">
        <v>8</v>
      </c>
      <c r="M35" s="27" t="s">
        <v>13</v>
      </c>
      <c r="N35" s="46">
        <v>8</v>
      </c>
      <c r="Q35" s="7" t="s">
        <v>16</v>
      </c>
      <c r="R35" s="11"/>
      <c r="S35" s="10"/>
      <c r="T35" s="10"/>
    </row>
    <row r="36" spans="1:20" ht="27.6" thickTop="1" thickBot="1" x14ac:dyDescent="0.55000000000000004">
      <c r="A36" s="44">
        <v>26</v>
      </c>
      <c r="B36" s="44" t="s">
        <v>28</v>
      </c>
      <c r="C36" s="43" t="s">
        <v>14</v>
      </c>
      <c r="D36" s="39">
        <v>8</v>
      </c>
      <c r="E36" s="36" t="s">
        <v>32</v>
      </c>
      <c r="F36" s="39"/>
      <c r="G36" s="36" t="s">
        <v>40</v>
      </c>
      <c r="H36" s="39"/>
      <c r="I36" s="45" t="s">
        <v>13</v>
      </c>
      <c r="J36" s="39">
        <v>8</v>
      </c>
      <c r="K36" s="48" t="s">
        <v>12</v>
      </c>
      <c r="L36" s="39"/>
      <c r="M36" s="26" t="s">
        <v>15</v>
      </c>
      <c r="N36" s="39">
        <v>8</v>
      </c>
      <c r="R36" s="11"/>
      <c r="S36" s="10"/>
      <c r="T36" s="10"/>
    </row>
    <row r="37" spans="1:20" ht="27.6" thickTop="1" thickBot="1" x14ac:dyDescent="0.55000000000000004">
      <c r="A37" s="44">
        <v>27</v>
      </c>
      <c r="B37" s="44" t="s">
        <v>31</v>
      </c>
      <c r="C37" s="43" t="s">
        <v>14</v>
      </c>
      <c r="D37" s="39">
        <v>8</v>
      </c>
      <c r="E37" s="36" t="s">
        <v>32</v>
      </c>
      <c r="F37" s="39"/>
      <c r="G37" s="36" t="s">
        <v>40</v>
      </c>
      <c r="H37" s="39"/>
      <c r="I37" s="41" t="s">
        <v>15</v>
      </c>
      <c r="J37" s="39">
        <v>8</v>
      </c>
      <c r="K37" s="45" t="s">
        <v>13</v>
      </c>
      <c r="L37" s="39">
        <v>8</v>
      </c>
      <c r="M37" s="40" t="s">
        <v>16</v>
      </c>
      <c r="N37" s="39">
        <v>8</v>
      </c>
      <c r="R37" s="11"/>
      <c r="S37" s="10"/>
      <c r="T37" s="10"/>
    </row>
    <row r="38" spans="1:20" ht="27.6" thickTop="1" thickBot="1" x14ac:dyDescent="0.55000000000000004">
      <c r="A38" s="44">
        <v>28</v>
      </c>
      <c r="B38" s="44" t="s">
        <v>35</v>
      </c>
      <c r="C38" s="43" t="s">
        <v>14</v>
      </c>
      <c r="D38" s="39">
        <v>8</v>
      </c>
      <c r="E38" s="36" t="s">
        <v>32</v>
      </c>
      <c r="F38" s="39"/>
      <c r="G38" s="36" t="s">
        <v>40</v>
      </c>
      <c r="H38" s="39"/>
      <c r="I38" s="41" t="s">
        <v>15</v>
      </c>
      <c r="J38" s="39">
        <v>8</v>
      </c>
      <c r="K38" s="45" t="s">
        <v>13</v>
      </c>
      <c r="L38" s="39">
        <v>8</v>
      </c>
      <c r="M38" s="40" t="s">
        <v>16</v>
      </c>
      <c r="N38" s="39">
        <v>8</v>
      </c>
      <c r="R38" s="11"/>
      <c r="S38" s="10"/>
      <c r="T38" s="10"/>
    </row>
    <row r="39" spans="1:20" ht="27.6" thickTop="1" thickBot="1" x14ac:dyDescent="0.55000000000000004">
      <c r="A39" s="38">
        <v>29</v>
      </c>
      <c r="B39" s="38" t="s">
        <v>11</v>
      </c>
      <c r="C39" s="90" t="s">
        <v>12</v>
      </c>
      <c r="D39" s="31"/>
      <c r="E39" s="36" t="s">
        <v>32</v>
      </c>
      <c r="F39" s="31"/>
      <c r="G39" s="43" t="s">
        <v>14</v>
      </c>
      <c r="H39" s="31">
        <v>8</v>
      </c>
      <c r="I39" s="41" t="s">
        <v>15</v>
      </c>
      <c r="J39" s="31">
        <v>8</v>
      </c>
      <c r="K39" s="45" t="s">
        <v>13</v>
      </c>
      <c r="L39" s="31">
        <v>8</v>
      </c>
      <c r="M39" s="32" t="s">
        <v>16</v>
      </c>
      <c r="N39" s="31">
        <v>8</v>
      </c>
      <c r="R39" s="11"/>
      <c r="S39" s="10"/>
      <c r="T39" s="10"/>
    </row>
    <row r="40" spans="1:20" ht="27.6" thickTop="1" thickBot="1" x14ac:dyDescent="0.55000000000000004">
      <c r="A40" s="30">
        <v>30</v>
      </c>
      <c r="B40" s="30" t="s">
        <v>19</v>
      </c>
      <c r="C40" s="90" t="s">
        <v>12</v>
      </c>
      <c r="D40" s="25"/>
      <c r="E40" s="90" t="s">
        <v>12</v>
      </c>
      <c r="F40" s="25"/>
      <c r="G40" s="43" t="s">
        <v>14</v>
      </c>
      <c r="H40" s="25">
        <v>8</v>
      </c>
      <c r="I40" s="33" t="s">
        <v>15</v>
      </c>
      <c r="J40" s="25">
        <v>8</v>
      </c>
      <c r="K40" s="45" t="s">
        <v>13</v>
      </c>
      <c r="L40" s="25">
        <v>8</v>
      </c>
      <c r="M40" s="24" t="s">
        <v>12</v>
      </c>
      <c r="N40" s="23"/>
      <c r="R40" s="14"/>
      <c r="S40" s="10"/>
      <c r="T40" s="10"/>
    </row>
    <row r="41" spans="1:20" ht="27.6" thickTop="1" thickBot="1" x14ac:dyDescent="0.55000000000000004">
      <c r="A41" s="22">
        <v>31</v>
      </c>
      <c r="B41" s="22" t="s">
        <v>22</v>
      </c>
      <c r="C41" s="27" t="s">
        <v>13</v>
      </c>
      <c r="D41" s="15">
        <v>8</v>
      </c>
      <c r="E41" s="91" t="s">
        <v>12</v>
      </c>
      <c r="F41" s="17"/>
      <c r="G41" s="43" t="s">
        <v>14</v>
      </c>
      <c r="H41" s="17">
        <v>8</v>
      </c>
      <c r="I41" s="24" t="s">
        <v>12</v>
      </c>
      <c r="J41" s="19">
        <v>8</v>
      </c>
      <c r="K41" s="24" t="s">
        <v>12</v>
      </c>
      <c r="L41" s="17">
        <v>8</v>
      </c>
      <c r="M41" s="26" t="s">
        <v>15</v>
      </c>
      <c r="N41" s="15">
        <v>8</v>
      </c>
      <c r="P41" s="14"/>
      <c r="Q41" s="10"/>
      <c r="R41" s="10"/>
    </row>
    <row r="42" spans="1:20" ht="28.8" thickTop="1" thickBot="1" x14ac:dyDescent="0.55000000000000004">
      <c r="C42" s="13"/>
      <c r="D42" s="12">
        <v>136</v>
      </c>
      <c r="E42" s="13"/>
      <c r="F42" s="12">
        <v>64</v>
      </c>
      <c r="G42" s="13"/>
      <c r="H42" s="12">
        <v>152</v>
      </c>
      <c r="I42" s="13"/>
      <c r="J42" s="12">
        <v>192</v>
      </c>
      <c r="K42" s="13"/>
      <c r="L42" s="12">
        <v>192</v>
      </c>
      <c r="M42" s="13"/>
      <c r="N42" s="12">
        <v>168</v>
      </c>
      <c r="R42" s="11"/>
      <c r="S42" s="10"/>
    </row>
    <row r="43" spans="1:20" ht="26.4" thickTop="1" x14ac:dyDescent="0.5">
      <c r="R43" s="11"/>
      <c r="S43" s="10"/>
    </row>
    <row r="44" spans="1:20" ht="25.8" x14ac:dyDescent="0.5">
      <c r="R44" s="11"/>
      <c r="S44" s="10"/>
    </row>
    <row r="45" spans="1:20" ht="25.8" x14ac:dyDescent="0.5">
      <c r="R45" s="11"/>
      <c r="S45" s="10"/>
    </row>
    <row r="46" spans="1:20" ht="25.8" x14ac:dyDescent="0.5">
      <c r="R46" s="11"/>
      <c r="S46" s="10"/>
    </row>
    <row r="50" spans="3:17" ht="25.2" x14ac:dyDescent="0.4">
      <c r="C50" s="9" t="s">
        <v>41</v>
      </c>
      <c r="D50" s="1">
        <v>0</v>
      </c>
      <c r="E50" s="4"/>
      <c r="F50" s="1">
        <v>0</v>
      </c>
      <c r="G50" s="4"/>
      <c r="H50" s="1">
        <v>0</v>
      </c>
      <c r="I50" s="4"/>
      <c r="J50" s="1">
        <v>0</v>
      </c>
      <c r="K50" s="4"/>
      <c r="L50" s="1">
        <v>0</v>
      </c>
      <c r="M50" s="4"/>
      <c r="N50" s="1">
        <v>0</v>
      </c>
      <c r="O50" s="4"/>
      <c r="P50" s="4"/>
      <c r="Q50" s="1">
        <f>SUM(D50:N50)</f>
        <v>0</v>
      </c>
    </row>
    <row r="51" spans="3:17" ht="25.2" x14ac:dyDescent="0.4">
      <c r="C51" s="6"/>
      <c r="D51" s="1"/>
      <c r="E51" s="4"/>
      <c r="F51" s="1"/>
      <c r="G51" s="4"/>
      <c r="H51" s="1"/>
      <c r="I51" s="4"/>
      <c r="J51" s="1"/>
      <c r="K51" s="4"/>
      <c r="L51" s="1"/>
      <c r="M51" s="4"/>
      <c r="N51" s="1"/>
      <c r="O51" s="4"/>
      <c r="P51" s="4"/>
      <c r="Q51" s="1"/>
    </row>
    <row r="52" spans="3:17" ht="25.2" x14ac:dyDescent="0.4">
      <c r="C52" s="8" t="s">
        <v>42</v>
      </c>
      <c r="D52" s="1">
        <v>0</v>
      </c>
      <c r="E52" s="4"/>
      <c r="F52" s="1">
        <v>0</v>
      </c>
      <c r="G52" s="4"/>
      <c r="H52" s="1">
        <v>0</v>
      </c>
      <c r="I52" s="4"/>
      <c r="J52" s="1">
        <v>0</v>
      </c>
      <c r="K52" s="4"/>
      <c r="L52" s="1">
        <v>0</v>
      </c>
      <c r="M52" s="4"/>
      <c r="N52" s="1">
        <v>0</v>
      </c>
      <c r="O52" s="4"/>
      <c r="P52" s="4"/>
      <c r="Q52" s="1">
        <f>SUM(D52:N52)</f>
        <v>0</v>
      </c>
    </row>
    <row r="53" spans="3:17" ht="25.2" x14ac:dyDescent="0.4">
      <c r="C53" s="6"/>
      <c r="D53" s="1"/>
      <c r="E53" s="4"/>
      <c r="F53" s="1"/>
      <c r="G53" s="4"/>
      <c r="H53" s="1"/>
      <c r="I53" s="4"/>
      <c r="J53" s="1"/>
      <c r="K53" s="4"/>
      <c r="L53" s="1"/>
      <c r="M53" s="4"/>
      <c r="N53" s="1"/>
      <c r="O53" s="4"/>
      <c r="P53" s="4"/>
      <c r="Q53" s="1"/>
    </row>
    <row r="54" spans="3:17" ht="25.2" x14ac:dyDescent="0.4">
      <c r="C54" s="7" t="s">
        <v>43</v>
      </c>
      <c r="D54" s="1">
        <v>0</v>
      </c>
      <c r="E54" s="4"/>
      <c r="F54" s="1">
        <v>0</v>
      </c>
      <c r="G54" s="4"/>
      <c r="H54" s="1">
        <v>0</v>
      </c>
      <c r="I54" s="4"/>
      <c r="J54" s="1">
        <v>0</v>
      </c>
      <c r="K54" s="4"/>
      <c r="L54" s="1">
        <v>0</v>
      </c>
      <c r="M54" s="4"/>
      <c r="N54" s="1">
        <v>0</v>
      </c>
      <c r="O54" s="4"/>
      <c r="P54" s="4"/>
      <c r="Q54" s="1">
        <f>SUM(D54:N54)</f>
        <v>0</v>
      </c>
    </row>
    <row r="55" spans="3:17" ht="25.2" x14ac:dyDescent="0.4">
      <c r="C55" s="6"/>
      <c r="D55" s="1"/>
      <c r="E55" s="4"/>
      <c r="F55" s="1"/>
      <c r="G55" s="4"/>
      <c r="H55" s="1"/>
      <c r="I55" s="4"/>
      <c r="J55" s="1"/>
      <c r="K55" s="4"/>
      <c r="L55" s="1"/>
      <c r="M55" s="4"/>
      <c r="N55" s="1"/>
      <c r="O55" s="4"/>
      <c r="P55" s="4"/>
      <c r="Q55" s="1"/>
    </row>
    <row r="56" spans="3:17" ht="25.2" x14ac:dyDescent="0.4">
      <c r="C56" s="5" t="s">
        <v>44</v>
      </c>
      <c r="D56" s="1">
        <v>0</v>
      </c>
      <c r="E56" s="4"/>
      <c r="F56" s="1">
        <v>0</v>
      </c>
      <c r="G56" s="4"/>
      <c r="H56" s="1">
        <v>0</v>
      </c>
      <c r="I56" s="4"/>
      <c r="J56" s="1">
        <v>0</v>
      </c>
      <c r="K56" s="4"/>
      <c r="L56" s="1">
        <v>0</v>
      </c>
      <c r="M56" s="4"/>
      <c r="N56" s="1">
        <v>0</v>
      </c>
      <c r="O56" s="4"/>
      <c r="P56" s="4"/>
      <c r="Q56" s="1">
        <f>SUM(D56:N56)</f>
        <v>0</v>
      </c>
    </row>
    <row r="57" spans="3:17" ht="25.2" x14ac:dyDescent="0.4">
      <c r="C57" s="4"/>
      <c r="D57" s="1"/>
      <c r="E57" s="4"/>
      <c r="F57" s="1"/>
      <c r="G57" s="4"/>
      <c r="H57" s="1"/>
      <c r="I57" s="4"/>
      <c r="J57" s="1"/>
      <c r="K57" s="4"/>
      <c r="L57" s="1"/>
      <c r="M57" s="4"/>
      <c r="N57" s="1"/>
      <c r="O57" s="4"/>
      <c r="P57" s="4"/>
      <c r="Q57" s="1"/>
    </row>
    <row r="58" spans="3:17" ht="25.2" x14ac:dyDescent="0.4">
      <c r="C58" s="2"/>
      <c r="D58" s="3">
        <f>SUM(D50:D54)</f>
        <v>0</v>
      </c>
      <c r="E58" s="2"/>
      <c r="F58" s="3">
        <f>SUM(F50:F54)</f>
        <v>0</v>
      </c>
      <c r="G58" s="2"/>
      <c r="H58" s="3">
        <f>H50+H52+H54</f>
        <v>0</v>
      </c>
      <c r="I58" s="2"/>
      <c r="J58" s="3">
        <f>SUM(J50:J54)</f>
        <v>0</v>
      </c>
      <c r="K58" s="2"/>
      <c r="L58" s="3">
        <f>SUM(L50:L54)</f>
        <v>0</v>
      </c>
      <c r="M58" s="2"/>
      <c r="N58" s="3">
        <f>SUM(N50:N54)</f>
        <v>0</v>
      </c>
      <c r="O58" s="2"/>
      <c r="P58" s="2"/>
      <c r="Q58" s="1">
        <f>SUM(D58:N58)</f>
        <v>0</v>
      </c>
    </row>
  </sheetData>
  <mergeCells count="2">
    <mergeCell ref="R16:S16"/>
    <mergeCell ref="R15:S15"/>
  </mergeCells>
  <printOptions horizontalCentered="1"/>
  <pageMargins left="0.78740157480314965" right="1.1811023622047245" top="0.74803149606299213" bottom="0.74803149606299213" header="0" footer="0"/>
  <pageSetup paperSize="8"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2:Z58"/>
  <sheetViews>
    <sheetView zoomScale="50" zoomScaleNormal="50" workbookViewId="0">
      <pane ySplit="8" topLeftCell="A9" activePane="bottomLeft" state="frozen"/>
      <selection pane="bottomLeft" activeCell="E39" sqref="E39:E41"/>
    </sheetView>
  </sheetViews>
  <sheetFormatPr defaultColWidth="14.44140625" defaultRowHeight="14.4" x14ac:dyDescent="0.3"/>
  <cols>
    <col min="1" max="2" width="21.6640625" customWidth="1"/>
    <col min="3" max="3" width="30.6640625" customWidth="1"/>
    <col min="4" max="4" width="14.44140625" customWidth="1"/>
    <col min="5" max="5" width="30.6640625" customWidth="1"/>
    <col min="6" max="6" width="14.44140625" customWidth="1"/>
    <col min="7" max="7" width="32.6640625" customWidth="1"/>
    <col min="8" max="8" width="15.5546875" customWidth="1"/>
    <col min="9" max="9" width="31.44140625" customWidth="1"/>
    <col min="10" max="10" width="14.6640625" customWidth="1"/>
    <col min="11" max="11" width="29.33203125" customWidth="1"/>
    <col min="12" max="12" width="15.5546875" customWidth="1"/>
    <col min="13" max="13" width="34.44140625" customWidth="1"/>
    <col min="14" max="14" width="15.5546875" customWidth="1"/>
    <col min="15" max="16" width="9.109375" customWidth="1"/>
    <col min="17" max="18" width="33.88671875" customWidth="1"/>
    <col min="19" max="19" width="67.44140625" customWidth="1"/>
    <col min="20" max="26" width="9.109375" customWidth="1"/>
  </cols>
  <sheetData>
    <row r="2" spans="1:26" ht="24" x14ac:dyDescent="0.45">
      <c r="A2" s="79"/>
      <c r="B2" s="79"/>
      <c r="C2" s="78"/>
      <c r="D2" s="79" t="s">
        <v>0</v>
      </c>
      <c r="E2" s="78"/>
      <c r="F2" s="79"/>
      <c r="G2" s="79"/>
      <c r="H2" s="78"/>
      <c r="I2" s="78"/>
      <c r="J2" s="78"/>
      <c r="K2" s="79"/>
      <c r="L2" s="78"/>
      <c r="M2" s="79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24" x14ac:dyDescent="0.45">
      <c r="A3" s="79"/>
      <c r="B3" s="79"/>
      <c r="C3" s="78"/>
      <c r="D3" s="79" t="s">
        <v>1</v>
      </c>
      <c r="E3" s="78"/>
      <c r="F3" s="79"/>
      <c r="G3" s="79"/>
      <c r="H3" s="78"/>
      <c r="I3" s="78"/>
      <c r="J3" s="78"/>
      <c r="K3" s="79"/>
      <c r="L3" s="78"/>
      <c r="M3" s="79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thickBot="1" x14ac:dyDescent="0.35"/>
    <row r="5" spans="1:26" ht="54.6" thickTop="1" thickBot="1" x14ac:dyDescent="0.35">
      <c r="A5" s="93" t="s">
        <v>2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5"/>
    </row>
    <row r="6" spans="1:26" ht="27" thickTop="1" thickBot="1" x14ac:dyDescent="0.35">
      <c r="A6" s="96" t="s">
        <v>45</v>
      </c>
      <c r="B6" s="97"/>
      <c r="C6" s="100"/>
      <c r="D6" s="94"/>
      <c r="E6" s="94"/>
      <c r="F6" s="94"/>
      <c r="G6" s="94"/>
      <c r="H6" s="94"/>
      <c r="I6" s="94"/>
      <c r="J6" s="94"/>
      <c r="K6" s="94"/>
      <c r="L6" s="94"/>
      <c r="M6" s="94"/>
      <c r="N6" s="95"/>
    </row>
    <row r="7" spans="1:26" ht="15" customHeight="1" thickTop="1" x14ac:dyDescent="0.3">
      <c r="A7" s="98"/>
      <c r="B7" s="98"/>
      <c r="C7" s="115" t="s">
        <v>4</v>
      </c>
      <c r="D7" s="103" t="s">
        <v>5</v>
      </c>
      <c r="E7" s="116" t="s">
        <v>6</v>
      </c>
      <c r="F7" s="103" t="s">
        <v>5</v>
      </c>
      <c r="G7" s="117" t="s">
        <v>7</v>
      </c>
      <c r="H7" s="103" t="s">
        <v>5</v>
      </c>
      <c r="I7" s="118" t="s">
        <v>8</v>
      </c>
      <c r="J7" s="103" t="s">
        <v>5</v>
      </c>
      <c r="K7" s="109" t="s">
        <v>9</v>
      </c>
      <c r="L7" s="103" t="s">
        <v>5</v>
      </c>
      <c r="M7" s="114" t="s">
        <v>10</v>
      </c>
      <c r="N7" s="103" t="s">
        <v>5</v>
      </c>
    </row>
    <row r="8" spans="1:26" ht="24" thickBot="1" x14ac:dyDescent="0.5">
      <c r="A8" s="99"/>
      <c r="B8" s="99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T8" s="78"/>
      <c r="U8" s="78"/>
      <c r="V8" s="78"/>
    </row>
    <row r="9" spans="1:26" ht="15" thickTop="1" x14ac:dyDescent="0.3"/>
    <row r="10" spans="1:26" ht="15" thickBot="1" x14ac:dyDescent="0.35"/>
    <row r="11" spans="1:26" ht="30" thickTop="1" thickBot="1" x14ac:dyDescent="0.6">
      <c r="A11" s="44">
        <v>1</v>
      </c>
      <c r="B11" s="44" t="s">
        <v>25</v>
      </c>
      <c r="C11" s="42" t="s">
        <v>13</v>
      </c>
      <c r="D11" s="46">
        <v>8</v>
      </c>
      <c r="E11" s="36" t="s">
        <v>32</v>
      </c>
      <c r="F11" s="80"/>
      <c r="G11" s="48" t="s">
        <v>12</v>
      </c>
      <c r="H11" s="46"/>
      <c r="I11" s="49" t="s">
        <v>14</v>
      </c>
      <c r="J11" s="46">
        <v>8</v>
      </c>
      <c r="K11" s="41" t="s">
        <v>15</v>
      </c>
      <c r="L11" s="46">
        <v>8</v>
      </c>
      <c r="M11" s="47" t="s">
        <v>16</v>
      </c>
      <c r="N11" s="46">
        <v>8</v>
      </c>
      <c r="Q11" s="77" t="s">
        <v>17</v>
      </c>
      <c r="R11" s="76" t="s">
        <v>18</v>
      </c>
      <c r="S11" s="75"/>
    </row>
    <row r="12" spans="1:26" ht="30" thickTop="1" thickBot="1" x14ac:dyDescent="0.6">
      <c r="A12" s="44">
        <v>2</v>
      </c>
      <c r="B12" s="44" t="s">
        <v>28</v>
      </c>
      <c r="C12" s="45" t="s">
        <v>13</v>
      </c>
      <c r="D12" s="39">
        <v>8</v>
      </c>
      <c r="E12" s="36" t="s">
        <v>32</v>
      </c>
      <c r="F12" s="80"/>
      <c r="G12" s="36" t="s">
        <v>12</v>
      </c>
      <c r="H12" s="39"/>
      <c r="I12" s="43" t="s">
        <v>14</v>
      </c>
      <c r="J12" s="39">
        <v>8</v>
      </c>
      <c r="K12" s="41" t="s">
        <v>15</v>
      </c>
      <c r="L12" s="39">
        <v>8</v>
      </c>
      <c r="M12" s="40" t="s">
        <v>16</v>
      </c>
      <c r="N12" s="39">
        <v>8</v>
      </c>
      <c r="Q12" s="74" t="s">
        <v>20</v>
      </c>
      <c r="R12" s="73" t="s">
        <v>21</v>
      </c>
      <c r="S12" s="72"/>
    </row>
    <row r="13" spans="1:26" ht="30" thickTop="1" thickBot="1" x14ac:dyDescent="0.6">
      <c r="A13" s="44">
        <v>3</v>
      </c>
      <c r="B13" s="44" t="s">
        <v>31</v>
      </c>
      <c r="C13" s="49" t="s">
        <v>14</v>
      </c>
      <c r="D13" s="39">
        <v>8</v>
      </c>
      <c r="E13" s="36" t="s">
        <v>32</v>
      </c>
      <c r="F13" s="80"/>
      <c r="G13" s="41" t="s">
        <v>15</v>
      </c>
      <c r="H13" s="39">
        <v>8</v>
      </c>
      <c r="I13" s="36" t="s">
        <v>12</v>
      </c>
      <c r="J13" s="39"/>
      <c r="K13" s="42" t="s">
        <v>13</v>
      </c>
      <c r="L13" s="39">
        <v>8</v>
      </c>
      <c r="M13" s="40" t="s">
        <v>16</v>
      </c>
      <c r="N13" s="39">
        <v>8</v>
      </c>
      <c r="Q13" s="71" t="s">
        <v>23</v>
      </c>
      <c r="R13" s="70" t="s">
        <v>24</v>
      </c>
      <c r="S13" s="69"/>
    </row>
    <row r="14" spans="1:26" ht="30" thickTop="1" thickBot="1" x14ac:dyDescent="0.6">
      <c r="A14" s="44">
        <v>4</v>
      </c>
      <c r="B14" s="44" t="s">
        <v>35</v>
      </c>
      <c r="C14" s="49" t="s">
        <v>14</v>
      </c>
      <c r="D14" s="39">
        <v>8</v>
      </c>
      <c r="E14" s="36" t="s">
        <v>32</v>
      </c>
      <c r="F14" s="80"/>
      <c r="G14" s="41" t="s">
        <v>15</v>
      </c>
      <c r="H14" s="39">
        <v>8</v>
      </c>
      <c r="I14" s="36" t="s">
        <v>12</v>
      </c>
      <c r="J14" s="39"/>
      <c r="K14" s="42" t="s">
        <v>13</v>
      </c>
      <c r="L14" s="39">
        <v>8</v>
      </c>
      <c r="M14" s="40" t="s">
        <v>16</v>
      </c>
      <c r="N14" s="39">
        <v>8</v>
      </c>
      <c r="Q14" s="68" t="s">
        <v>26</v>
      </c>
      <c r="R14" s="67" t="s">
        <v>27</v>
      </c>
      <c r="S14" s="66"/>
    </row>
    <row r="15" spans="1:26" ht="30" thickTop="1" thickBot="1" x14ac:dyDescent="0.6">
      <c r="A15" s="38">
        <v>5</v>
      </c>
      <c r="B15" s="38" t="s">
        <v>11</v>
      </c>
      <c r="C15" s="49" t="s">
        <v>14</v>
      </c>
      <c r="D15" s="31">
        <v>8</v>
      </c>
      <c r="E15" s="36" t="s">
        <v>32</v>
      </c>
      <c r="F15" s="85"/>
      <c r="G15" s="33" t="s">
        <v>15</v>
      </c>
      <c r="H15" s="31">
        <v>8</v>
      </c>
      <c r="I15" s="42" t="s">
        <v>13</v>
      </c>
      <c r="J15" s="31">
        <v>8</v>
      </c>
      <c r="K15" s="37" t="s">
        <v>12</v>
      </c>
      <c r="L15" s="31"/>
      <c r="M15" s="32" t="s">
        <v>16</v>
      </c>
      <c r="N15" s="31">
        <v>8</v>
      </c>
      <c r="Q15" s="65" t="s">
        <v>29</v>
      </c>
      <c r="R15" s="113" t="s">
        <v>30</v>
      </c>
      <c r="S15" s="112"/>
    </row>
    <row r="16" spans="1:26" ht="30" thickTop="1" thickBot="1" x14ac:dyDescent="0.6">
      <c r="A16" s="30">
        <v>6</v>
      </c>
      <c r="B16" s="83" t="s">
        <v>19</v>
      </c>
      <c r="C16" s="24" t="s">
        <v>12</v>
      </c>
      <c r="D16" s="23"/>
      <c r="E16" s="24" t="s">
        <v>12</v>
      </c>
      <c r="F16" s="23"/>
      <c r="G16" s="26" t="s">
        <v>15</v>
      </c>
      <c r="H16" s="25">
        <v>8</v>
      </c>
      <c r="I16" s="20" t="s">
        <v>46</v>
      </c>
      <c r="J16" s="25">
        <v>16</v>
      </c>
      <c r="K16" s="86" t="s">
        <v>13</v>
      </c>
      <c r="L16" s="25">
        <v>8</v>
      </c>
      <c r="M16" s="36" t="s">
        <v>12</v>
      </c>
      <c r="N16" s="39"/>
      <c r="Q16" s="64" t="s">
        <v>33</v>
      </c>
      <c r="R16" s="111" t="s">
        <v>34</v>
      </c>
      <c r="S16" s="112"/>
    </row>
    <row r="17" spans="1:20" ht="27" thickTop="1" thickBot="1" x14ac:dyDescent="0.45">
      <c r="A17" s="22">
        <v>7</v>
      </c>
      <c r="B17" s="82" t="s">
        <v>22</v>
      </c>
      <c r="C17" s="29" t="s">
        <v>32</v>
      </c>
      <c r="D17" s="17"/>
      <c r="E17" s="16" t="s">
        <v>12</v>
      </c>
      <c r="F17" s="15"/>
      <c r="G17" s="18" t="s">
        <v>12</v>
      </c>
      <c r="H17" s="17"/>
      <c r="I17" s="20" t="s">
        <v>14</v>
      </c>
      <c r="J17" s="17">
        <v>8</v>
      </c>
      <c r="K17" s="21" t="s">
        <v>15</v>
      </c>
      <c r="L17" s="15">
        <v>8</v>
      </c>
      <c r="M17" s="18" t="s">
        <v>12</v>
      </c>
      <c r="N17" s="17"/>
    </row>
    <row r="18" spans="1:20" ht="27" thickTop="1" thickBot="1" x14ac:dyDescent="0.45">
      <c r="A18" s="51">
        <v>8</v>
      </c>
      <c r="B18" s="51" t="s">
        <v>25</v>
      </c>
      <c r="C18" s="36" t="s">
        <v>12</v>
      </c>
      <c r="D18" s="46"/>
      <c r="E18" s="29" t="s">
        <v>32</v>
      </c>
      <c r="F18" s="81"/>
      <c r="G18" s="42" t="s">
        <v>13</v>
      </c>
      <c r="H18" s="46">
        <v>8</v>
      </c>
      <c r="I18" s="35" t="s">
        <v>14</v>
      </c>
      <c r="J18" s="39">
        <v>8</v>
      </c>
      <c r="K18" s="41" t="s">
        <v>15</v>
      </c>
      <c r="L18" s="46">
        <v>8</v>
      </c>
      <c r="M18" s="47" t="s">
        <v>16</v>
      </c>
      <c r="N18" s="46">
        <v>8</v>
      </c>
    </row>
    <row r="19" spans="1:20" ht="27.6" thickTop="1" thickBot="1" x14ac:dyDescent="0.55000000000000004">
      <c r="A19" s="44">
        <v>9</v>
      </c>
      <c r="B19" s="44" t="s">
        <v>28</v>
      </c>
      <c r="C19" s="43" t="s">
        <v>14</v>
      </c>
      <c r="D19" s="39">
        <v>8</v>
      </c>
      <c r="E19" s="36" t="s">
        <v>32</v>
      </c>
      <c r="F19" s="80"/>
      <c r="G19" s="45" t="s">
        <v>13</v>
      </c>
      <c r="H19" s="39">
        <v>8</v>
      </c>
      <c r="I19" s="36" t="s">
        <v>12</v>
      </c>
      <c r="J19" s="39"/>
      <c r="K19" s="41" t="s">
        <v>15</v>
      </c>
      <c r="L19" s="39">
        <v>8</v>
      </c>
      <c r="M19" s="47" t="s">
        <v>16</v>
      </c>
      <c r="N19" s="46">
        <v>8</v>
      </c>
      <c r="P19" s="11"/>
      <c r="Q19" s="11"/>
      <c r="R19" s="11"/>
      <c r="S19" s="11"/>
    </row>
    <row r="20" spans="1:20" ht="27.6" thickTop="1" thickBot="1" x14ac:dyDescent="0.55000000000000004">
      <c r="A20" s="44">
        <v>10</v>
      </c>
      <c r="B20" s="44" t="s">
        <v>31</v>
      </c>
      <c r="C20" s="43" t="s">
        <v>14</v>
      </c>
      <c r="D20" s="39">
        <v>8</v>
      </c>
      <c r="E20" s="36" t="s">
        <v>32</v>
      </c>
      <c r="F20" s="80"/>
      <c r="G20" s="45" t="s">
        <v>13</v>
      </c>
      <c r="H20" s="39">
        <v>8</v>
      </c>
      <c r="I20" s="41" t="s">
        <v>15</v>
      </c>
      <c r="J20" s="39">
        <v>8</v>
      </c>
      <c r="K20" s="36" t="s">
        <v>12</v>
      </c>
      <c r="L20" s="39"/>
      <c r="M20" s="40" t="s">
        <v>16</v>
      </c>
      <c r="N20" s="39">
        <v>8</v>
      </c>
      <c r="P20" s="11"/>
      <c r="Q20" s="11"/>
      <c r="R20" s="11"/>
      <c r="S20" s="10"/>
    </row>
    <row r="21" spans="1:20" ht="27" thickTop="1" thickBot="1" x14ac:dyDescent="0.45">
      <c r="A21" s="44">
        <v>11</v>
      </c>
      <c r="B21" s="44" t="s">
        <v>35</v>
      </c>
      <c r="C21" s="43" t="s">
        <v>14</v>
      </c>
      <c r="D21" s="39">
        <v>8</v>
      </c>
      <c r="E21" s="36" t="s">
        <v>32</v>
      </c>
      <c r="F21" s="80"/>
      <c r="G21" s="42" t="s">
        <v>13</v>
      </c>
      <c r="H21" s="39">
        <v>8</v>
      </c>
      <c r="I21" s="41" t="s">
        <v>15</v>
      </c>
      <c r="J21" s="39">
        <v>8</v>
      </c>
      <c r="K21" s="36" t="s">
        <v>12</v>
      </c>
      <c r="L21" s="39"/>
      <c r="M21" s="40" t="s">
        <v>16</v>
      </c>
      <c r="N21" s="39">
        <v>8</v>
      </c>
    </row>
    <row r="22" spans="1:20" ht="27.6" thickTop="1" thickBot="1" x14ac:dyDescent="0.55000000000000004">
      <c r="A22" s="38">
        <v>12</v>
      </c>
      <c r="B22" s="38" t="s">
        <v>11</v>
      </c>
      <c r="C22" s="37" t="s">
        <v>12</v>
      </c>
      <c r="D22" s="31"/>
      <c r="E22" s="36" t="s">
        <v>32</v>
      </c>
      <c r="F22" s="85"/>
      <c r="G22" s="34" t="s">
        <v>13</v>
      </c>
      <c r="H22" s="31">
        <v>8</v>
      </c>
      <c r="I22" s="35" t="s">
        <v>14</v>
      </c>
      <c r="J22" s="31">
        <v>8</v>
      </c>
      <c r="K22" s="33" t="s">
        <v>15</v>
      </c>
      <c r="L22" s="31">
        <v>8</v>
      </c>
      <c r="M22" s="32" t="s">
        <v>16</v>
      </c>
      <c r="N22" s="31">
        <v>8</v>
      </c>
      <c r="R22" s="11"/>
      <c r="S22" s="10"/>
    </row>
    <row r="23" spans="1:20" ht="27.6" thickTop="1" thickBot="1" x14ac:dyDescent="0.55000000000000004">
      <c r="A23" s="30">
        <v>13</v>
      </c>
      <c r="B23" s="83" t="s">
        <v>19</v>
      </c>
      <c r="C23" s="29" t="s">
        <v>12</v>
      </c>
      <c r="D23" s="25"/>
      <c r="E23" s="24" t="s">
        <v>12</v>
      </c>
      <c r="F23" s="23"/>
      <c r="G23" s="24" t="s">
        <v>12</v>
      </c>
      <c r="H23" s="25"/>
      <c r="I23" s="28" t="s">
        <v>14</v>
      </c>
      <c r="J23" s="25">
        <v>8</v>
      </c>
      <c r="K23" s="26" t="s">
        <v>15</v>
      </c>
      <c r="L23" s="25">
        <v>8</v>
      </c>
      <c r="M23" s="27" t="s">
        <v>13</v>
      </c>
      <c r="N23" s="25">
        <v>8</v>
      </c>
      <c r="Q23" s="60" t="s">
        <v>36</v>
      </c>
      <c r="R23" s="11"/>
      <c r="S23" s="10"/>
    </row>
    <row r="24" spans="1:20" ht="27.6" thickTop="1" thickBot="1" x14ac:dyDescent="0.55000000000000004">
      <c r="A24" s="22">
        <v>14</v>
      </c>
      <c r="B24" s="82" t="s">
        <v>22</v>
      </c>
      <c r="C24" s="29" t="s">
        <v>32</v>
      </c>
      <c r="D24" s="15"/>
      <c r="E24" s="16" t="s">
        <v>12</v>
      </c>
      <c r="F24" s="15"/>
      <c r="G24" s="20" t="s">
        <v>14</v>
      </c>
      <c r="H24" s="17">
        <v>8</v>
      </c>
      <c r="I24" s="34" t="s">
        <v>13</v>
      </c>
      <c r="J24" s="15">
        <v>8</v>
      </c>
      <c r="K24" s="26" t="s">
        <v>15</v>
      </c>
      <c r="L24" s="17">
        <v>8</v>
      </c>
      <c r="M24" s="18" t="s">
        <v>12</v>
      </c>
      <c r="N24" s="17"/>
      <c r="R24" s="11"/>
      <c r="S24" s="10"/>
    </row>
    <row r="25" spans="1:20" ht="27.6" thickTop="1" thickBot="1" x14ac:dyDescent="0.55000000000000004">
      <c r="A25" s="84">
        <v>15</v>
      </c>
      <c r="B25" s="84" t="s">
        <v>25</v>
      </c>
      <c r="C25" s="42" t="s">
        <v>13</v>
      </c>
      <c r="D25" s="46">
        <v>8</v>
      </c>
      <c r="E25" s="29" t="s">
        <v>32</v>
      </c>
      <c r="F25" s="81"/>
      <c r="G25" s="49" t="s">
        <v>14</v>
      </c>
      <c r="H25" s="46">
        <v>8</v>
      </c>
      <c r="I25" s="26" t="s">
        <v>15</v>
      </c>
      <c r="J25" s="46">
        <v>8</v>
      </c>
      <c r="K25" s="48" t="s">
        <v>12</v>
      </c>
      <c r="L25" s="46"/>
      <c r="M25" s="48" t="s">
        <v>47</v>
      </c>
      <c r="N25" s="46"/>
      <c r="Q25" s="59" t="s">
        <v>38</v>
      </c>
      <c r="R25" s="11"/>
      <c r="S25" s="10"/>
    </row>
    <row r="26" spans="1:20" ht="27.6" thickTop="1" thickBot="1" x14ac:dyDescent="0.55000000000000004">
      <c r="A26" s="44">
        <v>16</v>
      </c>
      <c r="B26" s="44" t="s">
        <v>28</v>
      </c>
      <c r="C26" s="42" t="s">
        <v>13</v>
      </c>
      <c r="D26" s="39">
        <v>8</v>
      </c>
      <c r="E26" s="36" t="s">
        <v>32</v>
      </c>
      <c r="F26" s="80"/>
      <c r="G26" s="43" t="s">
        <v>14</v>
      </c>
      <c r="H26" s="39">
        <v>8</v>
      </c>
      <c r="I26" s="26" t="s">
        <v>15</v>
      </c>
      <c r="J26" s="39">
        <v>8</v>
      </c>
      <c r="K26" s="36" t="s">
        <v>12</v>
      </c>
      <c r="L26" s="39"/>
      <c r="M26" s="40" t="s">
        <v>16</v>
      </c>
      <c r="N26" s="39">
        <v>8</v>
      </c>
      <c r="R26" s="14"/>
      <c r="S26" s="10"/>
    </row>
    <row r="27" spans="1:20" ht="27.6" thickTop="1" thickBot="1" x14ac:dyDescent="0.55000000000000004">
      <c r="A27" s="44">
        <v>17</v>
      </c>
      <c r="B27" s="44" t="s">
        <v>31</v>
      </c>
      <c r="C27" s="36" t="s">
        <v>12</v>
      </c>
      <c r="D27" s="39"/>
      <c r="E27" s="36" t="s">
        <v>32</v>
      </c>
      <c r="F27" s="80"/>
      <c r="G27" s="43" t="s">
        <v>14</v>
      </c>
      <c r="H27" s="39">
        <v>8</v>
      </c>
      <c r="I27" s="26" t="s">
        <v>15</v>
      </c>
      <c r="J27" s="39">
        <v>8</v>
      </c>
      <c r="K27" s="42" t="s">
        <v>13</v>
      </c>
      <c r="L27" s="39">
        <v>8</v>
      </c>
      <c r="M27" s="40" t="s">
        <v>16</v>
      </c>
      <c r="N27" s="39">
        <v>8</v>
      </c>
      <c r="Q27" s="56" t="s">
        <v>39</v>
      </c>
      <c r="R27" s="11"/>
      <c r="S27" s="10"/>
    </row>
    <row r="28" spans="1:20" ht="27.6" thickTop="1" thickBot="1" x14ac:dyDescent="0.55000000000000004">
      <c r="A28" s="44">
        <v>18</v>
      </c>
      <c r="B28" s="44" t="s">
        <v>35</v>
      </c>
      <c r="C28" s="36" t="s">
        <v>12</v>
      </c>
      <c r="D28" s="39"/>
      <c r="E28" s="36" t="s">
        <v>32</v>
      </c>
      <c r="F28" s="80"/>
      <c r="G28" s="43" t="s">
        <v>14</v>
      </c>
      <c r="H28" s="39">
        <v>8</v>
      </c>
      <c r="I28" s="26" t="s">
        <v>15</v>
      </c>
      <c r="J28" s="39">
        <v>8</v>
      </c>
      <c r="K28" s="42" t="s">
        <v>13</v>
      </c>
      <c r="L28" s="39">
        <v>8</v>
      </c>
      <c r="M28" s="40" t="s">
        <v>16</v>
      </c>
      <c r="N28" s="39">
        <v>8</v>
      </c>
      <c r="R28" s="11"/>
      <c r="S28" s="10"/>
    </row>
    <row r="29" spans="1:20" ht="27.6" thickTop="1" thickBot="1" x14ac:dyDescent="0.55000000000000004">
      <c r="A29" s="38">
        <v>19</v>
      </c>
      <c r="B29" s="38" t="s">
        <v>11</v>
      </c>
      <c r="C29" s="29" t="s">
        <v>32</v>
      </c>
      <c r="D29" s="31"/>
      <c r="E29" s="35" t="s">
        <v>14</v>
      </c>
      <c r="F29" s="31">
        <v>8</v>
      </c>
      <c r="G29" s="37" t="s">
        <v>12</v>
      </c>
      <c r="H29" s="31"/>
      <c r="I29" s="26" t="s">
        <v>15</v>
      </c>
      <c r="J29" s="31">
        <v>8</v>
      </c>
      <c r="K29" s="42" t="s">
        <v>13</v>
      </c>
      <c r="L29" s="31">
        <v>8</v>
      </c>
      <c r="M29" s="32" t="s">
        <v>16</v>
      </c>
      <c r="N29" s="31">
        <v>8</v>
      </c>
      <c r="Q29" s="55" t="s">
        <v>37</v>
      </c>
      <c r="R29" s="11"/>
      <c r="S29" s="10"/>
    </row>
    <row r="30" spans="1:20" ht="27.6" thickTop="1" thickBot="1" x14ac:dyDescent="0.55000000000000004">
      <c r="A30" s="30">
        <v>20</v>
      </c>
      <c r="B30" s="83" t="s">
        <v>19</v>
      </c>
      <c r="C30" s="29" t="s">
        <v>32</v>
      </c>
      <c r="D30" s="23"/>
      <c r="E30" s="28" t="s">
        <v>14</v>
      </c>
      <c r="F30" s="25">
        <v>8</v>
      </c>
      <c r="G30" s="29" t="s">
        <v>12</v>
      </c>
      <c r="H30" s="25"/>
      <c r="I30" s="29" t="s">
        <v>12</v>
      </c>
      <c r="J30" s="25"/>
      <c r="K30" s="26" t="s">
        <v>15</v>
      </c>
      <c r="L30" s="25">
        <v>8</v>
      </c>
      <c r="M30" s="27" t="s">
        <v>13</v>
      </c>
      <c r="N30" s="25">
        <v>8</v>
      </c>
      <c r="R30" s="11"/>
      <c r="S30" s="10"/>
      <c r="T30" s="10"/>
    </row>
    <row r="31" spans="1:20" ht="27.6" thickTop="1" thickBot="1" x14ac:dyDescent="0.55000000000000004">
      <c r="A31" s="22">
        <v>21</v>
      </c>
      <c r="B31" s="82" t="s">
        <v>22</v>
      </c>
      <c r="C31" s="18" t="s">
        <v>32</v>
      </c>
      <c r="D31" s="15"/>
      <c r="E31" s="20" t="s">
        <v>14</v>
      </c>
      <c r="F31" s="17">
        <v>8</v>
      </c>
      <c r="G31" s="21" t="s">
        <v>15</v>
      </c>
      <c r="H31" s="15">
        <v>8</v>
      </c>
      <c r="I31" s="53" t="s">
        <v>13</v>
      </c>
      <c r="J31" s="17">
        <v>8</v>
      </c>
      <c r="K31" s="18" t="s">
        <v>12</v>
      </c>
      <c r="L31" s="17"/>
      <c r="M31" s="16" t="s">
        <v>12</v>
      </c>
      <c r="N31" s="15"/>
      <c r="R31" s="11"/>
      <c r="S31" s="10"/>
      <c r="T31" s="10"/>
    </row>
    <row r="32" spans="1:20" ht="27.6" thickTop="1" thickBot="1" x14ac:dyDescent="0.55000000000000004">
      <c r="A32" s="51">
        <v>22</v>
      </c>
      <c r="B32" s="51" t="s">
        <v>25</v>
      </c>
      <c r="C32" s="29" t="s">
        <v>32</v>
      </c>
      <c r="D32" s="81"/>
      <c r="E32" s="48" t="s">
        <v>12</v>
      </c>
      <c r="F32" s="46"/>
      <c r="G32" s="41" t="s">
        <v>15</v>
      </c>
      <c r="H32" s="46">
        <v>8</v>
      </c>
      <c r="I32" s="49" t="s">
        <v>14</v>
      </c>
      <c r="J32" s="46">
        <v>8</v>
      </c>
      <c r="K32" s="42" t="s">
        <v>13</v>
      </c>
      <c r="L32" s="46">
        <v>8</v>
      </c>
      <c r="M32" s="47" t="s">
        <v>16</v>
      </c>
      <c r="N32" s="46">
        <v>8</v>
      </c>
      <c r="Q32" s="54" t="s">
        <v>12</v>
      </c>
      <c r="R32" s="11"/>
      <c r="S32" s="10"/>
      <c r="T32" s="10"/>
    </row>
    <row r="33" spans="1:20" ht="27.6" thickTop="1" thickBot="1" x14ac:dyDescent="0.55000000000000004">
      <c r="A33" s="44">
        <v>23</v>
      </c>
      <c r="B33" s="44" t="s">
        <v>28</v>
      </c>
      <c r="C33" s="36" t="s">
        <v>32</v>
      </c>
      <c r="D33" s="80"/>
      <c r="E33" s="36" t="s">
        <v>12</v>
      </c>
      <c r="F33" s="39"/>
      <c r="G33" s="41" t="s">
        <v>15</v>
      </c>
      <c r="H33" s="39">
        <v>8</v>
      </c>
      <c r="I33" s="43" t="s">
        <v>14</v>
      </c>
      <c r="J33" s="39">
        <v>8</v>
      </c>
      <c r="K33" s="45" t="s">
        <v>13</v>
      </c>
      <c r="L33" s="39">
        <v>8</v>
      </c>
      <c r="M33" s="47" t="s">
        <v>16</v>
      </c>
      <c r="N33" s="46">
        <v>8</v>
      </c>
      <c r="R33" s="11"/>
      <c r="S33" s="10"/>
      <c r="T33" s="10"/>
    </row>
    <row r="34" spans="1:20" ht="27.6" thickTop="1" thickBot="1" x14ac:dyDescent="0.55000000000000004">
      <c r="A34" s="44">
        <v>24</v>
      </c>
      <c r="B34" s="44" t="s">
        <v>31</v>
      </c>
      <c r="C34" s="36" t="s">
        <v>32</v>
      </c>
      <c r="D34" s="80"/>
      <c r="E34" s="41" t="s">
        <v>15</v>
      </c>
      <c r="F34" s="39">
        <v>8</v>
      </c>
      <c r="G34" s="36" t="s">
        <v>12</v>
      </c>
      <c r="H34" s="39"/>
      <c r="I34" s="43" t="s">
        <v>14</v>
      </c>
      <c r="J34" s="39">
        <v>8</v>
      </c>
      <c r="K34" s="45" t="s">
        <v>13</v>
      </c>
      <c r="L34" s="39">
        <v>8</v>
      </c>
      <c r="M34" s="40" t="s">
        <v>16</v>
      </c>
      <c r="N34" s="39">
        <v>8</v>
      </c>
      <c r="R34" s="14"/>
      <c r="S34" s="10"/>
      <c r="T34" s="10"/>
    </row>
    <row r="35" spans="1:20" ht="27.6" thickTop="1" thickBot="1" x14ac:dyDescent="0.55000000000000004">
      <c r="A35" s="44">
        <v>25</v>
      </c>
      <c r="B35" s="44" t="s">
        <v>35</v>
      </c>
      <c r="C35" s="36" t="s">
        <v>32</v>
      </c>
      <c r="D35" s="80"/>
      <c r="E35" s="41" t="s">
        <v>15</v>
      </c>
      <c r="F35" s="39">
        <v>8</v>
      </c>
      <c r="G35" s="36" t="s">
        <v>12</v>
      </c>
      <c r="H35" s="39"/>
      <c r="I35" s="43" t="s">
        <v>14</v>
      </c>
      <c r="J35" s="39">
        <v>8</v>
      </c>
      <c r="K35" s="42" t="s">
        <v>13</v>
      </c>
      <c r="L35" s="39">
        <v>8</v>
      </c>
      <c r="M35" s="40" t="s">
        <v>16</v>
      </c>
      <c r="N35" s="39">
        <v>8</v>
      </c>
      <c r="Q35" s="7" t="s">
        <v>16</v>
      </c>
      <c r="R35" s="11"/>
      <c r="S35" s="10"/>
      <c r="T35" s="10"/>
    </row>
    <row r="36" spans="1:20" ht="27.6" thickTop="1" thickBot="1" x14ac:dyDescent="0.55000000000000004">
      <c r="A36" s="38">
        <v>26</v>
      </c>
      <c r="B36" s="38" t="s">
        <v>11</v>
      </c>
      <c r="C36" s="18" t="s">
        <v>32</v>
      </c>
      <c r="D36" s="31"/>
      <c r="E36" s="33" t="s">
        <v>15</v>
      </c>
      <c r="F36" s="31">
        <v>8</v>
      </c>
      <c r="G36" s="35" t="s">
        <v>14</v>
      </c>
      <c r="H36" s="31">
        <v>8</v>
      </c>
      <c r="I36" s="36" t="s">
        <v>12</v>
      </c>
      <c r="J36" s="31"/>
      <c r="K36" s="34" t="s">
        <v>13</v>
      </c>
      <c r="L36" s="31">
        <v>8</v>
      </c>
      <c r="M36" s="32" t="s">
        <v>16</v>
      </c>
      <c r="N36" s="31">
        <v>8</v>
      </c>
      <c r="R36" s="11"/>
      <c r="S36" s="10"/>
      <c r="T36" s="10"/>
    </row>
    <row r="37" spans="1:20" ht="27.6" thickTop="1" thickBot="1" x14ac:dyDescent="0.55000000000000004">
      <c r="A37" s="30">
        <v>27</v>
      </c>
      <c r="B37" s="83" t="s">
        <v>19</v>
      </c>
      <c r="C37" s="36" t="s">
        <v>12</v>
      </c>
      <c r="D37" s="25"/>
      <c r="E37" s="26" t="s">
        <v>15</v>
      </c>
      <c r="F37" s="25">
        <v>8</v>
      </c>
      <c r="G37" s="28" t="s">
        <v>14</v>
      </c>
      <c r="H37" s="25">
        <v>8</v>
      </c>
      <c r="I37" s="24" t="s">
        <v>12</v>
      </c>
      <c r="J37" s="25"/>
      <c r="K37" s="53" t="s">
        <v>13</v>
      </c>
      <c r="L37" s="25">
        <v>8</v>
      </c>
      <c r="M37" s="24" t="s">
        <v>12</v>
      </c>
      <c r="N37" s="23"/>
      <c r="R37" s="11"/>
      <c r="S37" s="10"/>
      <c r="T37" s="10"/>
    </row>
    <row r="38" spans="1:20" ht="27.6" thickTop="1" thickBot="1" x14ac:dyDescent="0.55000000000000004">
      <c r="A38" s="22">
        <v>28</v>
      </c>
      <c r="B38" s="82" t="s">
        <v>22</v>
      </c>
      <c r="C38" s="36" t="s">
        <v>12</v>
      </c>
      <c r="D38" s="15"/>
      <c r="E38" s="18" t="s">
        <v>12</v>
      </c>
      <c r="F38" s="17"/>
      <c r="G38" s="20" t="s">
        <v>14</v>
      </c>
      <c r="H38" s="17">
        <v>8</v>
      </c>
      <c r="I38" s="53" t="s">
        <v>13</v>
      </c>
      <c r="J38" s="46">
        <v>8</v>
      </c>
      <c r="K38" s="16" t="s">
        <v>12</v>
      </c>
      <c r="L38" s="17"/>
      <c r="M38" s="21" t="s">
        <v>15</v>
      </c>
      <c r="N38" s="15">
        <v>8</v>
      </c>
      <c r="R38" s="11"/>
      <c r="S38" s="10"/>
      <c r="T38" s="10"/>
    </row>
    <row r="39" spans="1:20" ht="27.6" thickTop="1" thickBot="1" x14ac:dyDescent="0.55000000000000004">
      <c r="A39" s="51">
        <v>29</v>
      </c>
      <c r="B39" s="51" t="s">
        <v>25</v>
      </c>
      <c r="C39" s="48" t="s">
        <v>32</v>
      </c>
      <c r="D39" s="81"/>
      <c r="E39" s="32" t="s">
        <v>16</v>
      </c>
      <c r="F39" s="46">
        <v>8</v>
      </c>
      <c r="G39" s="48" t="s">
        <v>12</v>
      </c>
      <c r="H39" s="46"/>
      <c r="I39" s="49" t="s">
        <v>14</v>
      </c>
      <c r="J39" s="46">
        <v>8</v>
      </c>
      <c r="K39" s="53" t="s">
        <v>13</v>
      </c>
      <c r="L39" s="46">
        <v>8</v>
      </c>
      <c r="M39" s="41" t="s">
        <v>15</v>
      </c>
      <c r="N39" s="46">
        <v>8</v>
      </c>
      <c r="R39" s="11"/>
      <c r="S39" s="10"/>
      <c r="T39" s="10"/>
    </row>
    <row r="40" spans="1:20" ht="27.6" thickTop="1" thickBot="1" x14ac:dyDescent="0.55000000000000004">
      <c r="A40" s="44">
        <v>30</v>
      </c>
      <c r="B40" s="44" t="s">
        <v>28</v>
      </c>
      <c r="C40" s="36" t="s">
        <v>32</v>
      </c>
      <c r="D40" s="80"/>
      <c r="E40" s="32" t="s">
        <v>16</v>
      </c>
      <c r="F40" s="39">
        <v>8</v>
      </c>
      <c r="G40" s="36" t="s">
        <v>12</v>
      </c>
      <c r="H40" s="39"/>
      <c r="I40" s="43" t="s">
        <v>14</v>
      </c>
      <c r="J40" s="46">
        <v>8</v>
      </c>
      <c r="K40" s="53" t="s">
        <v>13</v>
      </c>
      <c r="L40" s="39">
        <v>8</v>
      </c>
      <c r="M40" s="41" t="s">
        <v>15</v>
      </c>
      <c r="N40" s="39">
        <v>8</v>
      </c>
      <c r="R40" s="14"/>
      <c r="S40" s="10"/>
      <c r="T40" s="10"/>
    </row>
    <row r="41" spans="1:20" ht="27.6" thickTop="1" thickBot="1" x14ac:dyDescent="0.55000000000000004">
      <c r="A41" s="44">
        <v>31</v>
      </c>
      <c r="B41" s="44" t="s">
        <v>31</v>
      </c>
      <c r="C41" s="36" t="s">
        <v>32</v>
      </c>
      <c r="D41" s="80"/>
      <c r="E41" s="32" t="s">
        <v>16</v>
      </c>
      <c r="F41" s="39">
        <v>8</v>
      </c>
      <c r="G41" s="41" t="s">
        <v>15</v>
      </c>
      <c r="H41" s="39">
        <v>8</v>
      </c>
      <c r="I41" s="43" t="s">
        <v>14</v>
      </c>
      <c r="J41" s="39">
        <v>8</v>
      </c>
      <c r="K41" s="53" t="s">
        <v>13</v>
      </c>
      <c r="L41" s="39">
        <v>8</v>
      </c>
      <c r="M41" s="36" t="s">
        <v>12</v>
      </c>
      <c r="N41" s="39"/>
      <c r="R41" s="14"/>
      <c r="S41" s="10"/>
      <c r="T41" s="10"/>
    </row>
    <row r="42" spans="1:20" ht="28.8" thickTop="1" thickBot="1" x14ac:dyDescent="0.55000000000000004">
      <c r="C42" s="13"/>
      <c r="D42" s="12">
        <f>SUM(D11:D41)</f>
        <v>80</v>
      </c>
      <c r="E42" s="13"/>
      <c r="F42" s="12">
        <f>SUM(F11:F41)</f>
        <v>80</v>
      </c>
      <c r="G42" s="13"/>
      <c r="H42" s="12">
        <f>SUM(H11:H41)</f>
        <v>168</v>
      </c>
      <c r="I42" s="13"/>
      <c r="J42" s="12">
        <f>SUM(J11:J41)</f>
        <v>208</v>
      </c>
      <c r="K42" s="13"/>
      <c r="L42" s="12">
        <f>SUM(L11:L41)</f>
        <v>192</v>
      </c>
      <c r="M42" s="13"/>
      <c r="N42" s="12">
        <f>SUM(N11:N41)</f>
        <v>192</v>
      </c>
      <c r="R42" s="11"/>
      <c r="S42" s="10"/>
    </row>
    <row r="43" spans="1:20" ht="26.4" thickTop="1" x14ac:dyDescent="0.5">
      <c r="R43" s="11"/>
      <c r="S43" s="10"/>
    </row>
    <row r="44" spans="1:20" ht="25.8" x14ac:dyDescent="0.5">
      <c r="R44" s="11"/>
      <c r="S44" s="10"/>
    </row>
    <row r="45" spans="1:20" ht="25.8" x14ac:dyDescent="0.5">
      <c r="R45" s="11"/>
      <c r="S45" s="10"/>
    </row>
    <row r="46" spans="1:20" ht="25.8" x14ac:dyDescent="0.5">
      <c r="R46" s="11"/>
      <c r="S46" s="10"/>
    </row>
    <row r="50" spans="3:17" ht="25.2" x14ac:dyDescent="0.4">
      <c r="C50" s="9" t="s">
        <v>41</v>
      </c>
      <c r="D50" s="1">
        <v>0</v>
      </c>
      <c r="E50" s="4"/>
      <c r="F50" s="1">
        <v>0</v>
      </c>
      <c r="G50" s="4"/>
      <c r="H50" s="1">
        <v>0</v>
      </c>
      <c r="I50" s="4"/>
      <c r="J50" s="1">
        <v>0</v>
      </c>
      <c r="K50" s="4"/>
      <c r="L50" s="1">
        <v>0</v>
      </c>
      <c r="M50" s="4"/>
      <c r="N50" s="1">
        <v>0</v>
      </c>
      <c r="O50" s="4"/>
      <c r="P50" s="4"/>
      <c r="Q50" s="1">
        <f>SUM(D50:N50)</f>
        <v>0</v>
      </c>
    </row>
    <row r="51" spans="3:17" ht="25.2" x14ac:dyDescent="0.4">
      <c r="C51" s="6"/>
      <c r="D51" s="1"/>
      <c r="E51" s="4"/>
      <c r="F51" s="1"/>
      <c r="G51" s="4"/>
      <c r="H51" s="1"/>
      <c r="I51" s="4"/>
      <c r="J51" s="1"/>
      <c r="K51" s="4"/>
      <c r="L51" s="1"/>
      <c r="M51" s="4"/>
      <c r="N51" s="1"/>
      <c r="O51" s="4"/>
      <c r="P51" s="4"/>
      <c r="Q51" s="1"/>
    </row>
    <row r="52" spans="3:17" ht="25.2" x14ac:dyDescent="0.4">
      <c r="C52" s="8" t="s">
        <v>42</v>
      </c>
      <c r="D52" s="1">
        <v>0</v>
      </c>
      <c r="E52" s="4"/>
      <c r="F52" s="1">
        <v>0</v>
      </c>
      <c r="G52" s="4"/>
      <c r="H52" s="1">
        <v>0</v>
      </c>
      <c r="I52" s="4"/>
      <c r="J52" s="1">
        <v>0</v>
      </c>
      <c r="K52" s="4"/>
      <c r="L52" s="1">
        <v>0</v>
      </c>
      <c r="M52" s="4"/>
      <c r="N52" s="1">
        <v>0</v>
      </c>
      <c r="O52" s="4"/>
      <c r="P52" s="4"/>
      <c r="Q52" s="1">
        <f>SUM(D52:N52)</f>
        <v>0</v>
      </c>
    </row>
    <row r="53" spans="3:17" ht="25.2" x14ac:dyDescent="0.4">
      <c r="C53" s="6"/>
      <c r="D53" s="1"/>
      <c r="E53" s="4"/>
      <c r="F53" s="1"/>
      <c r="G53" s="4"/>
      <c r="H53" s="1"/>
      <c r="I53" s="4"/>
      <c r="J53" s="1"/>
      <c r="K53" s="4"/>
      <c r="L53" s="1"/>
      <c r="M53" s="4"/>
      <c r="N53" s="1"/>
      <c r="O53" s="4"/>
      <c r="P53" s="4"/>
      <c r="Q53" s="1"/>
    </row>
    <row r="54" spans="3:17" ht="25.2" x14ac:dyDescent="0.4">
      <c r="C54" s="7" t="s">
        <v>43</v>
      </c>
      <c r="D54" s="1">
        <v>0</v>
      </c>
      <c r="E54" s="4"/>
      <c r="F54" s="1">
        <v>0</v>
      </c>
      <c r="G54" s="4"/>
      <c r="H54" s="1">
        <v>0</v>
      </c>
      <c r="I54" s="4"/>
      <c r="J54" s="1">
        <v>0</v>
      </c>
      <c r="K54" s="4"/>
      <c r="L54" s="1">
        <v>0</v>
      </c>
      <c r="M54" s="4"/>
      <c r="N54" s="1">
        <v>0</v>
      </c>
      <c r="O54" s="4"/>
      <c r="P54" s="4"/>
      <c r="Q54" s="1">
        <f>SUM(D54:N54)</f>
        <v>0</v>
      </c>
    </row>
    <row r="55" spans="3:17" ht="25.2" x14ac:dyDescent="0.4">
      <c r="C55" s="6"/>
      <c r="D55" s="1"/>
      <c r="E55" s="4"/>
      <c r="F55" s="1"/>
      <c r="G55" s="4"/>
      <c r="H55" s="1"/>
      <c r="I55" s="4"/>
      <c r="J55" s="1"/>
      <c r="K55" s="4"/>
      <c r="L55" s="1"/>
      <c r="M55" s="4"/>
      <c r="N55" s="1"/>
      <c r="O55" s="4"/>
      <c r="P55" s="4"/>
      <c r="Q55" s="1"/>
    </row>
    <row r="56" spans="3:17" ht="25.2" x14ac:dyDescent="0.4">
      <c r="C56" s="5" t="s">
        <v>44</v>
      </c>
      <c r="D56" s="1">
        <v>0</v>
      </c>
      <c r="E56" s="4"/>
      <c r="F56" s="1">
        <v>0</v>
      </c>
      <c r="G56" s="4"/>
      <c r="H56" s="1">
        <v>0</v>
      </c>
      <c r="I56" s="4"/>
      <c r="J56" s="1">
        <v>0</v>
      </c>
      <c r="K56" s="4"/>
      <c r="L56" s="1">
        <v>0</v>
      </c>
      <c r="M56" s="4"/>
      <c r="N56" s="1">
        <v>0</v>
      </c>
      <c r="O56" s="4"/>
      <c r="P56" s="4"/>
      <c r="Q56" s="1">
        <f>SUM(D56:N56)</f>
        <v>0</v>
      </c>
    </row>
    <row r="57" spans="3:17" ht="25.2" x14ac:dyDescent="0.4">
      <c r="C57" s="4"/>
      <c r="D57" s="1"/>
      <c r="E57" s="4"/>
      <c r="F57" s="1"/>
      <c r="G57" s="4"/>
      <c r="H57" s="1"/>
      <c r="I57" s="4"/>
      <c r="J57" s="1"/>
      <c r="K57" s="4"/>
      <c r="L57" s="1"/>
      <c r="M57" s="4"/>
      <c r="N57" s="1"/>
      <c r="O57" s="4"/>
      <c r="P57" s="4"/>
      <c r="Q57" s="1"/>
    </row>
    <row r="58" spans="3:17" ht="25.2" x14ac:dyDescent="0.4">
      <c r="C58" s="2"/>
      <c r="D58" s="3">
        <f>SUM(D50:D54)</f>
        <v>0</v>
      </c>
      <c r="E58" s="2"/>
      <c r="F58" s="3">
        <f>SUM(F50:F54)</f>
        <v>0</v>
      </c>
      <c r="G58" s="2"/>
      <c r="H58" s="3">
        <f>H50+H52+H54</f>
        <v>0</v>
      </c>
      <c r="I58" s="2"/>
      <c r="J58" s="3">
        <f>SUM(J50:J54)</f>
        <v>0</v>
      </c>
      <c r="K58" s="2"/>
      <c r="L58" s="3">
        <f>SUM(L50:L54)</f>
        <v>0</v>
      </c>
      <c r="M58" s="2"/>
      <c r="N58" s="3">
        <f>SUM(N50:N54)</f>
        <v>0</v>
      </c>
      <c r="O58" s="2"/>
      <c r="P58" s="2"/>
      <c r="Q58" s="1">
        <f>SUM(D58:N58)</f>
        <v>0</v>
      </c>
    </row>
  </sheetData>
  <printOptions horizontalCentered="1"/>
  <pageMargins left="0.78740157480314965" right="1.1811023622047245" top="0.74803149606299213" bottom="0.74803149606299213" header="0" footer="0"/>
  <pageSetup paperSize="8" scale="3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2:MF57"/>
  <sheetViews>
    <sheetView topLeftCell="A4" zoomScale="56" zoomScaleNormal="56" workbookViewId="0">
      <pane xSplit="2" ySplit="5" topLeftCell="C9" activePane="bottomRight" state="frozenSplit"/>
      <selection pane="topRight" activeCell="G4" sqref="G4"/>
      <selection pane="bottomLeft" activeCell="A14" sqref="A14"/>
      <selection pane="bottomRight" activeCell="I24" sqref="I24"/>
    </sheetView>
  </sheetViews>
  <sheetFormatPr defaultColWidth="14.44140625" defaultRowHeight="14.4" x14ac:dyDescent="0.3"/>
  <cols>
    <col min="1" max="1" width="12" customWidth="1"/>
    <col min="2" max="2" width="21.6640625" customWidth="1"/>
    <col min="3" max="3" width="30.6640625" customWidth="1"/>
    <col min="4" max="4" width="14.44140625" customWidth="1"/>
    <col min="5" max="5" width="30.6640625" customWidth="1"/>
    <col min="6" max="6" width="14.44140625" customWidth="1"/>
    <col min="7" max="7" width="32.6640625" customWidth="1"/>
    <col min="8" max="8" width="15.5546875" customWidth="1"/>
    <col min="9" max="9" width="31.44140625" customWidth="1"/>
    <col min="10" max="10" width="14.6640625" customWidth="1"/>
    <col min="11" max="11" width="29.33203125" customWidth="1"/>
    <col min="12" max="12" width="15.5546875" customWidth="1"/>
    <col min="13" max="13" width="34.44140625" customWidth="1"/>
    <col min="14" max="14" width="15.5546875" customWidth="1"/>
    <col min="15" max="16" width="9.109375" customWidth="1"/>
    <col min="17" max="18" width="33.88671875" customWidth="1"/>
    <col min="19" max="19" width="67.44140625" customWidth="1"/>
    <col min="20" max="26" width="9.109375" customWidth="1"/>
  </cols>
  <sheetData>
    <row r="2" spans="1:26" ht="24" x14ac:dyDescent="0.45">
      <c r="A2" s="79"/>
      <c r="B2" s="79"/>
      <c r="C2" s="78"/>
      <c r="D2" s="79" t="s">
        <v>0</v>
      </c>
      <c r="E2" s="78"/>
      <c r="F2" s="79"/>
      <c r="G2" s="79"/>
      <c r="H2" s="78"/>
      <c r="I2" s="78"/>
      <c r="J2" s="78"/>
      <c r="K2" s="79"/>
      <c r="L2" s="78"/>
      <c r="M2" s="79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24" x14ac:dyDescent="0.45">
      <c r="A3" s="79"/>
      <c r="B3" s="79"/>
      <c r="C3" s="78"/>
      <c r="D3" s="79" t="s">
        <v>1</v>
      </c>
      <c r="E3" s="78"/>
      <c r="F3" s="79"/>
      <c r="G3" s="79"/>
      <c r="H3" s="78"/>
      <c r="I3" s="78"/>
      <c r="J3" s="78"/>
      <c r="K3" s="79"/>
      <c r="L3" s="78"/>
      <c r="M3" s="79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thickBot="1" x14ac:dyDescent="0.35"/>
    <row r="5" spans="1:26" ht="36" thickTop="1" thickBot="1" x14ac:dyDescent="0.35">
      <c r="A5" s="273" t="s">
        <v>48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5"/>
    </row>
    <row r="6" spans="1:26" ht="27" thickTop="1" thickBot="1" x14ac:dyDescent="0.35">
      <c r="A6" s="96">
        <v>44805</v>
      </c>
      <c r="B6" s="97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5"/>
    </row>
    <row r="7" spans="1:26" ht="15" customHeight="1" thickTop="1" thickBot="1" x14ac:dyDescent="0.35">
      <c r="A7" s="98"/>
      <c r="B7" s="98"/>
      <c r="C7" s="115"/>
      <c r="D7" s="103" t="s">
        <v>5</v>
      </c>
      <c r="E7" s="116"/>
      <c r="F7" s="103" t="s">
        <v>5</v>
      </c>
      <c r="G7" s="117"/>
      <c r="H7" s="103" t="s">
        <v>5</v>
      </c>
      <c r="I7" s="118"/>
      <c r="J7" s="103" t="s">
        <v>5</v>
      </c>
      <c r="K7" s="109"/>
      <c r="L7" s="103" t="s">
        <v>5</v>
      </c>
      <c r="M7" s="114"/>
      <c r="N7" s="103" t="s">
        <v>5</v>
      </c>
    </row>
    <row r="8" spans="1:26" ht="30" thickTop="1" thickBot="1" x14ac:dyDescent="0.5">
      <c r="A8" s="99"/>
      <c r="B8" s="99"/>
      <c r="C8" s="115" t="s">
        <v>4</v>
      </c>
      <c r="D8" s="104"/>
      <c r="E8" s="116" t="s">
        <v>6</v>
      </c>
      <c r="F8" s="104"/>
      <c r="G8" s="117" t="s">
        <v>7</v>
      </c>
      <c r="H8" s="104"/>
      <c r="I8" s="118" t="s">
        <v>8</v>
      </c>
      <c r="J8" s="104"/>
      <c r="K8" s="109" t="s">
        <v>9</v>
      </c>
      <c r="L8" s="104"/>
      <c r="M8" s="114" t="s">
        <v>10</v>
      </c>
      <c r="N8" s="104"/>
      <c r="T8" s="78"/>
      <c r="U8" s="78"/>
      <c r="V8" s="78"/>
    </row>
    <row r="9" spans="1:26" ht="15" thickTop="1" x14ac:dyDescent="0.3"/>
    <row r="10" spans="1:26" ht="15" thickBot="1" x14ac:dyDescent="0.35"/>
    <row r="11" spans="1:26" ht="28.8" x14ac:dyDescent="0.55000000000000004">
      <c r="A11" s="129">
        <v>1</v>
      </c>
      <c r="B11" s="130" t="s">
        <v>35</v>
      </c>
      <c r="C11" s="144" t="s">
        <v>32</v>
      </c>
      <c r="D11" s="159"/>
      <c r="E11" s="173" t="s">
        <v>16</v>
      </c>
      <c r="F11" s="181">
        <v>8</v>
      </c>
      <c r="G11" s="186" t="s">
        <v>49</v>
      </c>
      <c r="H11" s="181">
        <v>10</v>
      </c>
      <c r="I11" s="199" t="s">
        <v>14</v>
      </c>
      <c r="J11" s="181">
        <v>8</v>
      </c>
      <c r="K11" s="205" t="s">
        <v>50</v>
      </c>
      <c r="L11" s="181">
        <v>5</v>
      </c>
      <c r="M11" s="144" t="s">
        <v>12</v>
      </c>
      <c r="N11" s="171"/>
      <c r="Q11" s="77" t="s">
        <v>17</v>
      </c>
      <c r="R11" s="76" t="s">
        <v>18</v>
      </c>
      <c r="S11" s="75"/>
    </row>
    <row r="12" spans="1:26" ht="29.4" thickBot="1" x14ac:dyDescent="0.6">
      <c r="A12" s="122">
        <v>2</v>
      </c>
      <c r="B12" s="131" t="s">
        <v>11</v>
      </c>
      <c r="C12" s="145" t="s">
        <v>32</v>
      </c>
      <c r="D12" s="160"/>
      <c r="E12" s="174" t="s">
        <v>16</v>
      </c>
      <c r="F12" s="160">
        <v>8</v>
      </c>
      <c r="G12" s="155" t="s">
        <v>15</v>
      </c>
      <c r="H12" s="166">
        <v>8</v>
      </c>
      <c r="I12" s="153" t="s">
        <v>14</v>
      </c>
      <c r="J12" s="166">
        <v>8</v>
      </c>
      <c r="K12" s="189" t="s">
        <v>13</v>
      </c>
      <c r="L12" s="166">
        <v>8</v>
      </c>
      <c r="M12" s="145" t="s">
        <v>12</v>
      </c>
      <c r="N12" s="143"/>
      <c r="Q12" s="74" t="s">
        <v>20</v>
      </c>
      <c r="R12" s="73" t="s">
        <v>21</v>
      </c>
      <c r="S12" s="72"/>
    </row>
    <row r="13" spans="1:26" ht="30" thickTop="1" thickBot="1" x14ac:dyDescent="0.6">
      <c r="A13" s="125">
        <v>3</v>
      </c>
      <c r="B13" s="132" t="s">
        <v>19</v>
      </c>
      <c r="C13" s="146" t="s">
        <v>12</v>
      </c>
      <c r="D13" s="161"/>
      <c r="E13" s="146" t="s">
        <v>12</v>
      </c>
      <c r="F13" s="182"/>
      <c r="G13" s="187" t="s">
        <v>15</v>
      </c>
      <c r="H13" s="182">
        <v>8</v>
      </c>
      <c r="I13" s="146" t="s">
        <v>12</v>
      </c>
      <c r="J13" s="161"/>
      <c r="K13" s="206" t="s">
        <v>13</v>
      </c>
      <c r="L13" s="182">
        <v>8</v>
      </c>
      <c r="M13" s="218" t="s">
        <v>14</v>
      </c>
      <c r="N13" s="212">
        <v>8</v>
      </c>
      <c r="Q13" s="71" t="s">
        <v>23</v>
      </c>
      <c r="R13" s="70" t="s">
        <v>24</v>
      </c>
      <c r="S13" s="69"/>
    </row>
    <row r="14" spans="1:26" ht="30" thickTop="1" thickBot="1" x14ac:dyDescent="0.6">
      <c r="A14" s="22">
        <v>4</v>
      </c>
      <c r="B14" s="133" t="s">
        <v>22</v>
      </c>
      <c r="C14" s="147" t="s">
        <v>12</v>
      </c>
      <c r="D14" s="162"/>
      <c r="E14" s="147" t="s">
        <v>12</v>
      </c>
      <c r="F14" s="169"/>
      <c r="G14" s="147" t="s">
        <v>12</v>
      </c>
      <c r="H14" s="169"/>
      <c r="I14" s="193" t="s">
        <v>15</v>
      </c>
      <c r="J14" s="162">
        <v>8</v>
      </c>
      <c r="K14" s="156" t="s">
        <v>13</v>
      </c>
      <c r="L14" s="162">
        <v>8</v>
      </c>
      <c r="M14" s="196" t="s">
        <v>14</v>
      </c>
      <c r="N14" s="213">
        <v>8</v>
      </c>
      <c r="Q14" s="68" t="s">
        <v>26</v>
      </c>
      <c r="R14" s="67" t="s">
        <v>27</v>
      </c>
      <c r="S14" s="66"/>
    </row>
    <row r="15" spans="1:26" ht="29.4" thickTop="1" x14ac:dyDescent="0.55000000000000004">
      <c r="A15" s="127">
        <v>5</v>
      </c>
      <c r="B15" s="134" t="s">
        <v>25</v>
      </c>
      <c r="C15" s="148" t="s">
        <v>14</v>
      </c>
      <c r="D15" s="163">
        <v>8</v>
      </c>
      <c r="E15" s="175" t="s">
        <v>16</v>
      </c>
      <c r="F15" s="163">
        <v>8</v>
      </c>
      <c r="G15" s="157" t="s">
        <v>13</v>
      </c>
      <c r="H15" s="163">
        <v>8</v>
      </c>
      <c r="I15" s="190" t="s">
        <v>15</v>
      </c>
      <c r="J15" s="163">
        <v>8</v>
      </c>
      <c r="K15" s="180" t="s">
        <v>12</v>
      </c>
      <c r="L15" s="209"/>
      <c r="M15" s="180" t="s">
        <v>12</v>
      </c>
      <c r="N15" s="140"/>
      <c r="Q15" s="65" t="s">
        <v>29</v>
      </c>
      <c r="R15" s="113" t="s">
        <v>30</v>
      </c>
      <c r="S15" s="112"/>
    </row>
    <row r="16" spans="1:26" ht="28.8" x14ac:dyDescent="0.55000000000000004">
      <c r="A16" s="128">
        <v>6</v>
      </c>
      <c r="B16" s="135" t="s">
        <v>28</v>
      </c>
      <c r="C16" s="149" t="s">
        <v>51</v>
      </c>
      <c r="D16" s="164">
        <v>7</v>
      </c>
      <c r="E16" s="192" t="s">
        <v>32</v>
      </c>
      <c r="F16" s="165"/>
      <c r="G16" s="188" t="s">
        <v>13</v>
      </c>
      <c r="H16" s="164">
        <v>8</v>
      </c>
      <c r="I16" s="191" t="s">
        <v>52</v>
      </c>
      <c r="J16" s="164">
        <v>9</v>
      </c>
      <c r="K16" s="176" t="s">
        <v>16</v>
      </c>
      <c r="L16" s="210">
        <v>8</v>
      </c>
      <c r="M16" s="200" t="s">
        <v>12</v>
      </c>
      <c r="N16" s="141"/>
      <c r="Q16" s="64" t="s">
        <v>33</v>
      </c>
      <c r="R16" s="111" t="s">
        <v>34</v>
      </c>
      <c r="S16" s="112"/>
    </row>
    <row r="17" spans="1:344" ht="25.8" x14ac:dyDescent="0.4">
      <c r="A17" s="126">
        <v>7</v>
      </c>
      <c r="B17" s="136" t="s">
        <v>31</v>
      </c>
      <c r="C17" s="150" t="s">
        <v>14</v>
      </c>
      <c r="D17" s="165">
        <v>8</v>
      </c>
      <c r="E17" s="192" t="s">
        <v>32</v>
      </c>
      <c r="F17" s="165"/>
      <c r="G17" s="158" t="s">
        <v>13</v>
      </c>
      <c r="H17" s="165">
        <v>8</v>
      </c>
      <c r="I17" s="192" t="s">
        <v>12</v>
      </c>
      <c r="J17" s="165"/>
      <c r="K17" s="177" t="s">
        <v>16</v>
      </c>
      <c r="L17" s="211">
        <v>8</v>
      </c>
      <c r="M17" s="194" t="s">
        <v>15</v>
      </c>
      <c r="N17" s="142">
        <v>8</v>
      </c>
    </row>
    <row r="18" spans="1:344" ht="25.8" x14ac:dyDescent="0.4">
      <c r="A18" s="128">
        <v>8</v>
      </c>
      <c r="B18" s="135" t="s">
        <v>35</v>
      </c>
      <c r="C18" s="149" t="s">
        <v>14</v>
      </c>
      <c r="D18" s="164">
        <v>8</v>
      </c>
      <c r="E18" s="192" t="s">
        <v>32</v>
      </c>
      <c r="F18" s="165"/>
      <c r="G18" s="188" t="s">
        <v>13</v>
      </c>
      <c r="H18" s="164">
        <v>8</v>
      </c>
      <c r="I18" s="200" t="s">
        <v>12</v>
      </c>
      <c r="J18" s="164"/>
      <c r="K18" s="176" t="s">
        <v>16</v>
      </c>
      <c r="L18" s="210">
        <v>8</v>
      </c>
      <c r="M18" s="191" t="s">
        <v>15</v>
      </c>
      <c r="N18" s="141">
        <v>8</v>
      </c>
    </row>
    <row r="19" spans="1:344" ht="27" thickBot="1" x14ac:dyDescent="0.55000000000000004">
      <c r="A19" s="122">
        <v>9</v>
      </c>
      <c r="B19" s="131" t="s">
        <v>11</v>
      </c>
      <c r="C19" s="145" t="s">
        <v>12</v>
      </c>
      <c r="D19" s="166"/>
      <c r="E19" s="192" t="s">
        <v>32</v>
      </c>
      <c r="F19" s="165"/>
      <c r="G19" s="189" t="s">
        <v>13</v>
      </c>
      <c r="H19" s="160">
        <v>8</v>
      </c>
      <c r="I19" s="153" t="s">
        <v>14</v>
      </c>
      <c r="J19" s="166">
        <v>8</v>
      </c>
      <c r="K19" s="174" t="s">
        <v>16</v>
      </c>
      <c r="L19" s="160">
        <v>8</v>
      </c>
      <c r="M19" s="155" t="s">
        <v>15</v>
      </c>
      <c r="N19" s="185">
        <v>8</v>
      </c>
      <c r="P19" s="11"/>
      <c r="Q19" s="11"/>
      <c r="R19" s="11"/>
      <c r="S19" s="11"/>
    </row>
    <row r="20" spans="1:344" ht="27.6" thickTop="1" thickBot="1" x14ac:dyDescent="0.55000000000000004">
      <c r="A20" s="30">
        <v>10</v>
      </c>
      <c r="B20" s="137" t="s">
        <v>19</v>
      </c>
      <c r="C20" s="151" t="s">
        <v>12</v>
      </c>
      <c r="D20" s="167"/>
      <c r="E20" s="151" t="s">
        <v>12</v>
      </c>
      <c r="F20" s="167"/>
      <c r="G20" s="151" t="s">
        <v>12</v>
      </c>
      <c r="H20" s="167"/>
      <c r="I20" s="195" t="s">
        <v>14</v>
      </c>
      <c r="J20" s="167">
        <v>8</v>
      </c>
      <c r="K20" s="207" t="s">
        <v>13</v>
      </c>
      <c r="L20" s="183">
        <v>8</v>
      </c>
      <c r="M20" s="202" t="s">
        <v>15</v>
      </c>
      <c r="N20" s="214">
        <v>8</v>
      </c>
      <c r="P20" s="11"/>
      <c r="Q20" s="11"/>
      <c r="R20" s="11"/>
      <c r="S20" s="10"/>
    </row>
    <row r="21" spans="1:344" ht="27" thickTop="1" thickBot="1" x14ac:dyDescent="0.45">
      <c r="A21" s="119">
        <v>11</v>
      </c>
      <c r="B21" s="138" t="s">
        <v>22</v>
      </c>
      <c r="C21" s="152" t="s">
        <v>15</v>
      </c>
      <c r="D21" s="168">
        <v>8</v>
      </c>
      <c r="E21" s="178" t="s">
        <v>12</v>
      </c>
      <c r="F21" s="168"/>
      <c r="G21" s="147" t="s">
        <v>12</v>
      </c>
      <c r="H21" s="198"/>
      <c r="I21" s="201" t="s">
        <v>14</v>
      </c>
      <c r="J21" s="198">
        <v>8</v>
      </c>
      <c r="K21" s="156" t="s">
        <v>13</v>
      </c>
      <c r="L21" s="168">
        <v>8</v>
      </c>
      <c r="M21" s="178" t="s">
        <v>12</v>
      </c>
      <c r="N21" s="215"/>
      <c r="O21" s="265"/>
      <c r="P21" s="266"/>
      <c r="Q21" s="266"/>
      <c r="R21" s="266"/>
      <c r="S21" s="266"/>
      <c r="T21" s="266"/>
      <c r="U21" s="266"/>
      <c r="V21" s="266"/>
      <c r="W21" s="266"/>
      <c r="X21" s="266"/>
      <c r="Y21" s="266"/>
      <c r="Z21" s="266"/>
      <c r="AA21" s="266"/>
      <c r="AB21" s="266"/>
      <c r="AC21" s="266"/>
      <c r="AD21" s="266"/>
      <c r="AE21" s="266"/>
      <c r="AF21" s="266"/>
      <c r="AG21" s="266"/>
      <c r="AH21" s="266"/>
      <c r="AI21" s="266"/>
      <c r="AJ21" s="266"/>
      <c r="AK21" s="266"/>
      <c r="AL21" s="266"/>
      <c r="AM21" s="266"/>
      <c r="AN21" s="266"/>
      <c r="AO21" s="266"/>
      <c r="AP21" s="266"/>
      <c r="AQ21" s="266"/>
      <c r="AR21" s="266"/>
      <c r="AS21" s="266"/>
      <c r="AT21" s="266"/>
      <c r="AU21" s="266"/>
      <c r="AV21" s="266"/>
      <c r="AW21" s="266"/>
      <c r="AX21" s="266"/>
      <c r="AY21" s="266"/>
      <c r="AZ21" s="266"/>
      <c r="BA21" s="266"/>
      <c r="BB21" s="266"/>
      <c r="BC21" s="266"/>
      <c r="BD21" s="266"/>
      <c r="BE21" s="266"/>
      <c r="BF21" s="266"/>
      <c r="BG21" s="266"/>
      <c r="BH21" s="266"/>
      <c r="BI21" s="266"/>
      <c r="BJ21" s="266"/>
      <c r="BK21" s="266"/>
      <c r="BL21" s="266"/>
      <c r="BM21" s="266"/>
      <c r="BN21" s="266"/>
      <c r="BO21" s="266"/>
      <c r="BP21" s="266"/>
      <c r="BQ21" s="266"/>
      <c r="BR21" s="266"/>
      <c r="BS21" s="266"/>
      <c r="BT21" s="266"/>
      <c r="BU21" s="266"/>
      <c r="BV21" s="266"/>
      <c r="BW21" s="266"/>
      <c r="BX21" s="266"/>
      <c r="BY21" s="266"/>
      <c r="BZ21" s="266"/>
      <c r="CA21" s="266"/>
      <c r="CB21" s="266"/>
      <c r="CC21" s="266"/>
      <c r="CD21" s="266"/>
      <c r="CE21" s="266"/>
      <c r="CF21" s="266"/>
      <c r="CG21" s="266"/>
      <c r="CH21" s="266"/>
      <c r="CI21" s="266"/>
      <c r="CJ21" s="266"/>
      <c r="CK21" s="266"/>
      <c r="CL21" s="266"/>
      <c r="CM21" s="266"/>
      <c r="CN21" s="266"/>
      <c r="CO21" s="266"/>
      <c r="CP21" s="266"/>
      <c r="CQ21" s="266"/>
      <c r="CR21" s="266"/>
      <c r="CS21" s="266"/>
      <c r="CT21" s="266"/>
      <c r="CU21" s="266"/>
      <c r="CV21" s="266"/>
      <c r="CW21" s="266"/>
      <c r="CX21" s="266"/>
      <c r="CY21" s="266"/>
      <c r="CZ21" s="266"/>
      <c r="DA21" s="266"/>
      <c r="DB21" s="266"/>
      <c r="DC21" s="266"/>
      <c r="DD21" s="266"/>
      <c r="DE21" s="266"/>
      <c r="DF21" s="266"/>
      <c r="DG21" s="266"/>
      <c r="DH21" s="266"/>
      <c r="DI21" s="266"/>
      <c r="DJ21" s="266"/>
      <c r="DK21" s="266"/>
      <c r="DL21" s="266"/>
      <c r="DM21" s="266"/>
      <c r="DN21" s="266"/>
      <c r="DO21" s="266"/>
      <c r="DP21" s="266"/>
      <c r="DQ21" s="266"/>
      <c r="DR21" s="266"/>
      <c r="DS21" s="266"/>
      <c r="DT21" s="266"/>
      <c r="DU21" s="266"/>
      <c r="DV21" s="266"/>
      <c r="DW21" s="266"/>
      <c r="DX21" s="266"/>
      <c r="DY21" s="266"/>
      <c r="DZ21" s="266"/>
      <c r="EA21" s="266"/>
      <c r="EB21" s="266"/>
      <c r="EC21" s="266"/>
      <c r="ED21" s="266"/>
      <c r="EE21" s="266"/>
      <c r="EF21" s="266"/>
      <c r="EG21" s="266"/>
      <c r="EH21" s="266"/>
      <c r="EI21" s="266"/>
      <c r="EJ21" s="266"/>
      <c r="EK21" s="266"/>
      <c r="EL21" s="266"/>
      <c r="EM21" s="266"/>
      <c r="EN21" s="266"/>
      <c r="EO21" s="266"/>
      <c r="EP21" s="266"/>
      <c r="EQ21" s="266"/>
      <c r="ER21" s="266"/>
      <c r="ES21" s="266"/>
      <c r="ET21" s="266"/>
      <c r="EU21" s="266"/>
      <c r="EV21" s="266"/>
      <c r="EW21" s="266"/>
      <c r="EX21" s="266"/>
      <c r="EY21" s="266"/>
      <c r="EZ21" s="266"/>
      <c r="FA21" s="266"/>
      <c r="FB21" s="266"/>
      <c r="FC21" s="266"/>
      <c r="FD21" s="266"/>
      <c r="FE21" s="266"/>
      <c r="FF21" s="266"/>
      <c r="FG21" s="266"/>
      <c r="FH21" s="266"/>
      <c r="FI21" s="266"/>
      <c r="FJ21" s="266"/>
      <c r="FK21" s="266"/>
      <c r="FL21" s="266"/>
      <c r="FM21" s="266"/>
      <c r="FN21" s="266"/>
      <c r="FO21" s="266"/>
      <c r="FP21" s="266"/>
      <c r="FQ21" s="266"/>
      <c r="FR21" s="266"/>
      <c r="FS21" s="266"/>
      <c r="FT21" s="266"/>
      <c r="FU21" s="266"/>
      <c r="FV21" s="266"/>
      <c r="FW21" s="266"/>
      <c r="FX21" s="266"/>
      <c r="FY21" s="266"/>
      <c r="FZ21" s="266"/>
      <c r="GA21" s="266"/>
      <c r="GB21" s="266"/>
      <c r="GC21" s="266"/>
      <c r="GD21" s="266"/>
      <c r="GE21" s="266"/>
      <c r="GF21" s="266"/>
      <c r="GG21" s="266"/>
      <c r="GH21" s="266"/>
      <c r="GI21" s="266"/>
      <c r="GJ21" s="266"/>
      <c r="GK21" s="266"/>
      <c r="GL21" s="266"/>
      <c r="GM21" s="266"/>
      <c r="GN21" s="266"/>
      <c r="GO21" s="266"/>
      <c r="GP21" s="266"/>
      <c r="GQ21" s="266"/>
      <c r="GR21" s="266"/>
      <c r="GS21" s="266"/>
      <c r="GT21" s="266"/>
      <c r="GU21" s="266"/>
      <c r="GV21" s="266"/>
      <c r="GW21" s="266"/>
      <c r="GX21" s="266"/>
      <c r="GY21" s="266"/>
      <c r="GZ21" s="266"/>
      <c r="HA21" s="266"/>
      <c r="HB21" s="266"/>
      <c r="HC21" s="266"/>
      <c r="HD21" s="266"/>
      <c r="HE21" s="266"/>
      <c r="HF21" s="266"/>
      <c r="HG21" s="266"/>
      <c r="HH21" s="266"/>
      <c r="HI21" s="266"/>
      <c r="HJ21" s="266"/>
      <c r="HK21" s="266"/>
      <c r="HL21" s="266"/>
      <c r="HM21" s="266"/>
      <c r="HN21" s="266"/>
      <c r="HO21" s="266"/>
      <c r="HP21" s="266"/>
      <c r="HQ21" s="266"/>
      <c r="HR21" s="266"/>
      <c r="HS21" s="266"/>
      <c r="HT21" s="266"/>
      <c r="HU21" s="266"/>
      <c r="HV21" s="266"/>
      <c r="HW21" s="266"/>
      <c r="HX21" s="266"/>
      <c r="HY21" s="266"/>
      <c r="HZ21" s="266"/>
      <c r="IA21" s="266"/>
      <c r="IB21" s="266"/>
      <c r="IC21" s="266"/>
      <c r="ID21" s="266"/>
      <c r="IE21" s="266"/>
      <c r="IF21" s="266"/>
      <c r="IG21" s="266"/>
      <c r="IH21" s="266"/>
      <c r="II21" s="266"/>
      <c r="IJ21" s="266"/>
      <c r="IK21" s="266"/>
      <c r="IL21" s="266"/>
      <c r="IM21" s="266"/>
      <c r="IN21" s="266"/>
      <c r="IO21" s="266"/>
      <c r="IP21" s="266"/>
      <c r="IQ21" s="266"/>
      <c r="IR21" s="266"/>
      <c r="IS21" s="266"/>
      <c r="IT21" s="266"/>
      <c r="IU21" s="266"/>
      <c r="IV21" s="266"/>
      <c r="IW21" s="266"/>
      <c r="IX21" s="266"/>
      <c r="IY21" s="266"/>
      <c r="IZ21" s="266"/>
      <c r="JA21" s="266"/>
      <c r="JB21" s="266"/>
      <c r="JC21" s="266"/>
      <c r="JD21" s="266"/>
      <c r="JE21" s="266"/>
      <c r="JF21" s="266"/>
      <c r="JG21" s="266"/>
      <c r="JH21" s="266"/>
      <c r="JI21" s="266"/>
      <c r="JJ21" s="266"/>
      <c r="JK21" s="266"/>
      <c r="JL21" s="266"/>
      <c r="JM21" s="266"/>
      <c r="JN21" s="266"/>
      <c r="JO21" s="266"/>
      <c r="JP21" s="266"/>
      <c r="JQ21" s="266"/>
      <c r="JR21" s="266"/>
      <c r="JS21" s="266"/>
      <c r="JT21" s="266"/>
      <c r="JU21" s="266"/>
      <c r="JV21" s="266"/>
      <c r="JW21" s="266"/>
      <c r="JX21" s="266"/>
      <c r="JY21" s="266"/>
      <c r="JZ21" s="266"/>
      <c r="KA21" s="266"/>
      <c r="KB21" s="266"/>
      <c r="KC21" s="266"/>
      <c r="KD21" s="266"/>
      <c r="KE21" s="266"/>
      <c r="KF21" s="266"/>
      <c r="KG21" s="266"/>
      <c r="KH21" s="266"/>
      <c r="KI21" s="266"/>
      <c r="KJ21" s="266"/>
      <c r="KK21" s="266"/>
      <c r="KL21" s="266"/>
      <c r="KM21" s="266"/>
      <c r="KN21" s="266"/>
      <c r="KO21" s="266"/>
      <c r="KP21" s="266"/>
      <c r="KQ21" s="266"/>
      <c r="KR21" s="266"/>
      <c r="KS21" s="266"/>
      <c r="KT21" s="266"/>
      <c r="KU21" s="266"/>
      <c r="KV21" s="266"/>
      <c r="KW21" s="266"/>
      <c r="KX21" s="266"/>
      <c r="KY21" s="266"/>
      <c r="KZ21" s="266"/>
      <c r="LA21" s="266"/>
      <c r="LB21" s="266"/>
      <c r="LC21" s="266"/>
      <c r="LD21" s="266"/>
      <c r="LE21" s="266"/>
      <c r="LF21" s="266"/>
      <c r="LG21" s="266"/>
      <c r="LH21" s="266"/>
      <c r="LI21" s="266"/>
      <c r="LJ21" s="266"/>
      <c r="LK21" s="266"/>
      <c r="LL21" s="266"/>
      <c r="LM21" s="266"/>
      <c r="LN21" s="266"/>
      <c r="LO21" s="266"/>
      <c r="LP21" s="266"/>
      <c r="LQ21" s="266"/>
      <c r="LR21" s="266"/>
      <c r="LS21" s="266"/>
      <c r="LT21" s="266"/>
      <c r="LU21" s="266"/>
      <c r="LV21" s="266"/>
      <c r="LW21" s="266"/>
      <c r="LX21" s="266"/>
      <c r="LY21" s="266"/>
      <c r="LZ21" s="266"/>
      <c r="MA21" s="266"/>
      <c r="MB21" s="266"/>
      <c r="MC21" s="266"/>
      <c r="MD21" s="266"/>
      <c r="ME21" s="266"/>
      <c r="MF21" s="266"/>
    </row>
    <row r="22" spans="1:344" s="120" customFormat="1" ht="27" thickTop="1" x14ac:dyDescent="0.5">
      <c r="A22" s="127">
        <v>12</v>
      </c>
      <c r="B22" s="134" t="s">
        <v>25</v>
      </c>
      <c r="C22" s="148" t="s">
        <v>14</v>
      </c>
      <c r="D22" s="163">
        <v>8</v>
      </c>
      <c r="E22" s="175" t="s">
        <v>16</v>
      </c>
      <c r="F22" s="163">
        <v>8</v>
      </c>
      <c r="G22" s="190" t="s">
        <v>15</v>
      </c>
      <c r="H22" s="163">
        <v>8</v>
      </c>
      <c r="I22" s="180" t="s">
        <v>12</v>
      </c>
      <c r="J22" s="163"/>
      <c r="K22" s="180" t="s">
        <v>32</v>
      </c>
      <c r="L22" s="163"/>
      <c r="M22" s="157" t="s">
        <v>13</v>
      </c>
      <c r="N22" s="140">
        <v>8</v>
      </c>
      <c r="O22"/>
      <c r="P22"/>
      <c r="Q22"/>
      <c r="R22" s="11"/>
      <c r="S22" s="10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</row>
    <row r="23" spans="1:344" ht="26.4" x14ac:dyDescent="0.5">
      <c r="A23" s="122">
        <v>13</v>
      </c>
      <c r="B23" s="131" t="s">
        <v>28</v>
      </c>
      <c r="C23" s="153" t="s">
        <v>14</v>
      </c>
      <c r="D23" s="166">
        <v>8</v>
      </c>
      <c r="E23" s="176" t="s">
        <v>16</v>
      </c>
      <c r="F23" s="166">
        <v>8</v>
      </c>
      <c r="G23" s="155" t="s">
        <v>15</v>
      </c>
      <c r="H23" s="166">
        <v>8</v>
      </c>
      <c r="I23" s="145" t="s">
        <v>12</v>
      </c>
      <c r="J23" s="166"/>
      <c r="K23" s="145" t="s">
        <v>32</v>
      </c>
      <c r="L23" s="166"/>
      <c r="M23" s="189" t="s">
        <v>13</v>
      </c>
      <c r="N23" s="143">
        <v>8</v>
      </c>
      <c r="Q23" s="60" t="s">
        <v>36</v>
      </c>
      <c r="R23" s="11"/>
      <c r="S23" s="10"/>
    </row>
    <row r="24" spans="1:344" ht="26.4" x14ac:dyDescent="0.5">
      <c r="A24" s="128">
        <v>14</v>
      </c>
      <c r="B24" s="135" t="s">
        <v>31</v>
      </c>
      <c r="C24" s="149" t="s">
        <v>14</v>
      </c>
      <c r="D24" s="164">
        <v>8</v>
      </c>
      <c r="E24" s="174" t="s">
        <v>16</v>
      </c>
      <c r="F24" s="166">
        <v>8</v>
      </c>
      <c r="G24" s="191" t="s">
        <v>15</v>
      </c>
      <c r="H24" s="164">
        <v>8</v>
      </c>
      <c r="I24" s="179" t="s">
        <v>16</v>
      </c>
      <c r="J24" s="164">
        <v>8</v>
      </c>
      <c r="K24" s="200" t="s">
        <v>32</v>
      </c>
      <c r="L24" s="210"/>
      <c r="M24" s="188" t="s">
        <v>13</v>
      </c>
      <c r="N24" s="141">
        <v>8</v>
      </c>
      <c r="R24" s="11"/>
      <c r="S24" s="10"/>
    </row>
    <row r="25" spans="1:344" ht="26.4" x14ac:dyDescent="0.5">
      <c r="A25" s="126">
        <v>15</v>
      </c>
      <c r="B25" s="136" t="s">
        <v>35</v>
      </c>
      <c r="C25" s="150" t="s">
        <v>14</v>
      </c>
      <c r="D25" s="165">
        <v>8</v>
      </c>
      <c r="E25" s="176" t="s">
        <v>16</v>
      </c>
      <c r="F25" s="165">
        <v>8</v>
      </c>
      <c r="G25" s="189" t="s">
        <v>13</v>
      </c>
      <c r="H25" s="165">
        <v>8</v>
      </c>
      <c r="I25" s="194" t="s">
        <v>15</v>
      </c>
      <c r="J25" s="165">
        <v>8</v>
      </c>
      <c r="K25" s="192" t="s">
        <v>32</v>
      </c>
      <c r="L25" s="211"/>
      <c r="M25" s="192" t="s">
        <v>12</v>
      </c>
      <c r="N25" s="142"/>
      <c r="Q25" s="59" t="s">
        <v>38</v>
      </c>
      <c r="R25" s="11"/>
      <c r="S25" s="10"/>
    </row>
    <row r="26" spans="1:344" ht="27" thickBot="1" x14ac:dyDescent="0.55000000000000004">
      <c r="A26" s="122">
        <v>16</v>
      </c>
      <c r="B26" s="131" t="s">
        <v>11</v>
      </c>
      <c r="C26" s="179" t="s">
        <v>53</v>
      </c>
      <c r="D26" s="166">
        <v>9</v>
      </c>
      <c r="E26" s="174" t="s">
        <v>16</v>
      </c>
      <c r="F26" s="166">
        <v>8</v>
      </c>
      <c r="G26" s="220" t="s">
        <v>13</v>
      </c>
      <c r="H26" s="166">
        <v>8</v>
      </c>
      <c r="I26" s="270" t="s">
        <v>15</v>
      </c>
      <c r="J26" s="166">
        <v>8</v>
      </c>
      <c r="K26" s="272" t="s">
        <v>32</v>
      </c>
      <c r="L26" s="166"/>
      <c r="M26" s="153" t="s">
        <v>14</v>
      </c>
      <c r="N26" s="139">
        <v>8</v>
      </c>
      <c r="R26" s="14"/>
      <c r="S26" s="10"/>
    </row>
    <row r="27" spans="1:344" ht="27.6" thickTop="1" thickBot="1" x14ac:dyDescent="0.55000000000000004">
      <c r="A27" s="30">
        <v>17</v>
      </c>
      <c r="B27" s="137" t="s">
        <v>19</v>
      </c>
      <c r="C27" s="151" t="s">
        <v>12</v>
      </c>
      <c r="D27" s="167"/>
      <c r="E27" s="146" t="s">
        <v>12</v>
      </c>
      <c r="F27" s="183"/>
      <c r="G27" s="180" t="s">
        <v>12</v>
      </c>
      <c r="H27" s="167"/>
      <c r="I27" s="157" t="s">
        <v>13</v>
      </c>
      <c r="J27" s="167">
        <v>8</v>
      </c>
      <c r="K27" s="271" t="s">
        <v>15</v>
      </c>
      <c r="L27" s="182">
        <v>8</v>
      </c>
      <c r="M27" s="195" t="s">
        <v>14</v>
      </c>
      <c r="N27" s="216">
        <v>8</v>
      </c>
      <c r="Q27" s="56" t="s">
        <v>39</v>
      </c>
      <c r="R27" s="11"/>
      <c r="S27" s="10"/>
    </row>
    <row r="28" spans="1:344" ht="27.6" thickTop="1" thickBot="1" x14ac:dyDescent="0.55000000000000004">
      <c r="A28" s="22">
        <v>18</v>
      </c>
      <c r="B28" s="133" t="s">
        <v>22</v>
      </c>
      <c r="C28" s="154" t="s">
        <v>12</v>
      </c>
      <c r="D28" s="169"/>
      <c r="E28" s="147" t="s">
        <v>12</v>
      </c>
      <c r="F28" s="169"/>
      <c r="G28" s="220" t="s">
        <v>13</v>
      </c>
      <c r="H28" s="162">
        <v>8</v>
      </c>
      <c r="I28" s="178" t="s">
        <v>12</v>
      </c>
      <c r="J28" s="162"/>
      <c r="K28" s="191" t="s">
        <v>15</v>
      </c>
      <c r="L28" s="169">
        <v>8</v>
      </c>
      <c r="M28" s="196" t="s">
        <v>14</v>
      </c>
      <c r="N28" s="213">
        <v>8</v>
      </c>
      <c r="R28" s="11"/>
      <c r="S28" s="10"/>
    </row>
    <row r="29" spans="1:344" ht="27" thickTop="1" x14ac:dyDescent="0.5">
      <c r="A29" s="127">
        <v>19</v>
      </c>
      <c r="B29" s="134" t="s">
        <v>25</v>
      </c>
      <c r="C29" s="148" t="s">
        <v>14</v>
      </c>
      <c r="D29" s="163">
        <v>8</v>
      </c>
      <c r="E29" s="175" t="s">
        <v>16</v>
      </c>
      <c r="F29" s="163">
        <v>8</v>
      </c>
      <c r="G29" s="157" t="s">
        <v>13</v>
      </c>
      <c r="H29" s="163">
        <v>8</v>
      </c>
      <c r="I29" s="192" t="s">
        <v>32</v>
      </c>
      <c r="J29" s="163"/>
      <c r="K29" s="191" t="s">
        <v>15</v>
      </c>
      <c r="L29" s="209">
        <v>8</v>
      </c>
      <c r="M29" s="180" t="s">
        <v>12</v>
      </c>
      <c r="N29" s="140"/>
      <c r="Q29" s="55" t="s">
        <v>37</v>
      </c>
      <c r="R29" s="11"/>
      <c r="S29" s="10"/>
    </row>
    <row r="30" spans="1:344" ht="26.4" x14ac:dyDescent="0.5">
      <c r="A30" s="126">
        <v>20</v>
      </c>
      <c r="B30" s="136" t="s">
        <v>28</v>
      </c>
      <c r="C30" s="150" t="s">
        <v>14</v>
      </c>
      <c r="D30" s="165">
        <v>8</v>
      </c>
      <c r="E30" s="177" t="s">
        <v>16</v>
      </c>
      <c r="F30" s="165">
        <v>8</v>
      </c>
      <c r="G30" s="194" t="s">
        <v>15</v>
      </c>
      <c r="H30" s="165">
        <v>8</v>
      </c>
      <c r="I30" s="192" t="s">
        <v>32</v>
      </c>
      <c r="J30" s="165"/>
      <c r="K30" s="192" t="s">
        <v>12</v>
      </c>
      <c r="L30" s="211"/>
      <c r="M30" s="158" t="s">
        <v>13</v>
      </c>
      <c r="N30" s="142">
        <v>8</v>
      </c>
      <c r="R30" s="11"/>
      <c r="S30" s="10"/>
      <c r="T30" s="10"/>
    </row>
    <row r="31" spans="1:344" ht="26.4" x14ac:dyDescent="0.5">
      <c r="A31" s="126">
        <v>21</v>
      </c>
      <c r="B31" s="136" t="s">
        <v>31</v>
      </c>
      <c r="C31" s="150" t="s">
        <v>14</v>
      </c>
      <c r="D31" s="165">
        <v>8</v>
      </c>
      <c r="E31" s="177" t="s">
        <v>16</v>
      </c>
      <c r="F31" s="165">
        <v>8</v>
      </c>
      <c r="G31" s="192" t="s">
        <v>12</v>
      </c>
      <c r="H31" s="165"/>
      <c r="I31" s="192" t="s">
        <v>32</v>
      </c>
      <c r="J31" s="165"/>
      <c r="K31" s="194" t="s">
        <v>15</v>
      </c>
      <c r="L31" s="165">
        <v>8</v>
      </c>
      <c r="M31" s="158" t="s">
        <v>13</v>
      </c>
      <c r="N31" s="142">
        <v>8</v>
      </c>
      <c r="R31" s="11"/>
      <c r="S31" s="10"/>
      <c r="T31" s="10"/>
    </row>
    <row r="32" spans="1:344" ht="26.4" x14ac:dyDescent="0.5">
      <c r="A32" s="126">
        <v>22</v>
      </c>
      <c r="B32" s="136" t="s">
        <v>35</v>
      </c>
      <c r="C32" s="150" t="s">
        <v>14</v>
      </c>
      <c r="D32" s="165">
        <v>8</v>
      </c>
      <c r="E32" s="177" t="s">
        <v>16</v>
      </c>
      <c r="F32" s="165">
        <v>8</v>
      </c>
      <c r="G32" s="192" t="s">
        <v>12</v>
      </c>
      <c r="H32" s="165"/>
      <c r="I32" s="192" t="s">
        <v>32</v>
      </c>
      <c r="J32" s="165"/>
      <c r="K32" s="194" t="s">
        <v>15</v>
      </c>
      <c r="L32" s="165">
        <v>8</v>
      </c>
      <c r="M32" s="158" t="s">
        <v>13</v>
      </c>
      <c r="N32" s="142">
        <v>8</v>
      </c>
      <c r="Q32" s="54" t="s">
        <v>12</v>
      </c>
      <c r="R32" s="11"/>
      <c r="S32" s="121"/>
      <c r="T32" s="10"/>
    </row>
    <row r="33" spans="1:20" ht="27" thickBot="1" x14ac:dyDescent="0.55000000000000004">
      <c r="A33" s="122">
        <v>23</v>
      </c>
      <c r="B33" s="131" t="s">
        <v>11</v>
      </c>
      <c r="C33" s="192" t="s">
        <v>12</v>
      </c>
      <c r="D33" s="165"/>
      <c r="E33" s="174" t="s">
        <v>16</v>
      </c>
      <c r="F33" s="166">
        <v>8</v>
      </c>
      <c r="G33" s="153" t="s">
        <v>14</v>
      </c>
      <c r="H33" s="166">
        <v>8</v>
      </c>
      <c r="I33" s="145" t="s">
        <v>32</v>
      </c>
      <c r="J33" s="166" t="s">
        <v>54</v>
      </c>
      <c r="K33" s="155" t="s">
        <v>15</v>
      </c>
      <c r="L33" s="166">
        <v>8</v>
      </c>
      <c r="M33" s="189" t="s">
        <v>13</v>
      </c>
      <c r="N33" s="143">
        <v>8</v>
      </c>
      <c r="R33" s="11"/>
      <c r="S33" s="10"/>
      <c r="T33" s="10"/>
    </row>
    <row r="34" spans="1:20" ht="27.6" thickTop="1" thickBot="1" x14ac:dyDescent="0.55000000000000004">
      <c r="A34" s="30">
        <v>24</v>
      </c>
      <c r="B34" s="137" t="s">
        <v>19</v>
      </c>
      <c r="C34" s="151" t="s">
        <v>12</v>
      </c>
      <c r="D34" s="167"/>
      <c r="E34" s="180" t="s">
        <v>12</v>
      </c>
      <c r="F34" s="182"/>
      <c r="G34" s="195" t="s">
        <v>14</v>
      </c>
      <c r="H34" s="167">
        <v>8</v>
      </c>
      <c r="I34" s="180" t="s">
        <v>12</v>
      </c>
      <c r="J34" s="167"/>
      <c r="K34" s="202" t="s">
        <v>15</v>
      </c>
      <c r="L34" s="167">
        <v>8</v>
      </c>
      <c r="M34" s="189" t="s">
        <v>13</v>
      </c>
      <c r="N34" s="216">
        <v>8</v>
      </c>
      <c r="R34" s="14"/>
      <c r="S34" s="10"/>
      <c r="T34" s="10"/>
    </row>
    <row r="35" spans="1:20" ht="27.6" thickTop="1" thickBot="1" x14ac:dyDescent="0.55000000000000004">
      <c r="A35" s="22">
        <v>25</v>
      </c>
      <c r="B35" s="133" t="s">
        <v>22</v>
      </c>
      <c r="C35" s="156" t="s">
        <v>13</v>
      </c>
      <c r="D35" s="162">
        <v>8</v>
      </c>
      <c r="E35" s="147" t="s">
        <v>12</v>
      </c>
      <c r="F35" s="169"/>
      <c r="G35" s="196" t="s">
        <v>14</v>
      </c>
      <c r="H35" s="169">
        <v>8</v>
      </c>
      <c r="I35" s="178" t="s">
        <v>12</v>
      </c>
      <c r="J35" s="204"/>
      <c r="K35" s="193" t="s">
        <v>15</v>
      </c>
      <c r="L35" s="169">
        <v>8</v>
      </c>
      <c r="M35" s="154" t="s">
        <v>12</v>
      </c>
      <c r="N35" s="217"/>
      <c r="Q35" s="7" t="s">
        <v>16</v>
      </c>
      <c r="R35" s="11"/>
      <c r="S35" s="10"/>
      <c r="T35" s="10"/>
    </row>
    <row r="36" spans="1:20" ht="27" thickTop="1" x14ac:dyDescent="0.5">
      <c r="A36" s="127">
        <v>26</v>
      </c>
      <c r="B36" s="134" t="s">
        <v>25</v>
      </c>
      <c r="C36" s="157" t="s">
        <v>13</v>
      </c>
      <c r="D36" s="163">
        <v>8</v>
      </c>
      <c r="E36" s="175" t="s">
        <v>16</v>
      </c>
      <c r="F36" s="163">
        <v>8</v>
      </c>
      <c r="G36" s="180" t="s">
        <v>12</v>
      </c>
      <c r="H36" s="163"/>
      <c r="I36" s="180" t="s">
        <v>32</v>
      </c>
      <c r="J36" s="163"/>
      <c r="K36" s="190" t="s">
        <v>15</v>
      </c>
      <c r="L36" s="163">
        <v>8</v>
      </c>
      <c r="M36" s="148" t="s">
        <v>14</v>
      </c>
      <c r="N36" s="140">
        <v>8</v>
      </c>
      <c r="R36" s="11"/>
      <c r="S36" s="10"/>
      <c r="T36" s="10"/>
    </row>
    <row r="37" spans="1:20" ht="26.4" x14ac:dyDescent="0.5">
      <c r="A37" s="126">
        <v>27</v>
      </c>
      <c r="B37" s="136" t="s">
        <v>28</v>
      </c>
      <c r="C37" s="158" t="s">
        <v>13</v>
      </c>
      <c r="D37" s="165">
        <v>8</v>
      </c>
      <c r="E37" s="177" t="s">
        <v>16</v>
      </c>
      <c r="F37" s="165">
        <v>8</v>
      </c>
      <c r="G37" s="192" t="s">
        <v>12</v>
      </c>
      <c r="H37" s="165"/>
      <c r="I37" s="192" t="s">
        <v>32</v>
      </c>
      <c r="J37" s="165"/>
      <c r="K37" s="194" t="s">
        <v>15</v>
      </c>
      <c r="L37" s="165">
        <v>8</v>
      </c>
      <c r="M37" s="150" t="s">
        <v>14</v>
      </c>
      <c r="N37" s="142">
        <v>8</v>
      </c>
      <c r="R37" s="11"/>
      <c r="S37" s="10"/>
      <c r="T37" s="10"/>
    </row>
    <row r="38" spans="1:20" ht="26.4" x14ac:dyDescent="0.5">
      <c r="A38" s="126">
        <v>28</v>
      </c>
      <c r="B38" s="136" t="s">
        <v>31</v>
      </c>
      <c r="C38" s="158" t="s">
        <v>13</v>
      </c>
      <c r="D38" s="165">
        <v>8</v>
      </c>
      <c r="E38" s="177" t="s">
        <v>16</v>
      </c>
      <c r="F38" s="165">
        <v>8</v>
      </c>
      <c r="G38" s="194" t="s">
        <v>15</v>
      </c>
      <c r="H38" s="165">
        <v>8</v>
      </c>
      <c r="I38" s="192" t="s">
        <v>32</v>
      </c>
      <c r="J38" s="165"/>
      <c r="K38" s="192" t="s">
        <v>12</v>
      </c>
      <c r="L38" s="165"/>
      <c r="M38" s="150" t="s">
        <v>14</v>
      </c>
      <c r="N38" s="142">
        <v>8</v>
      </c>
      <c r="R38" s="11"/>
      <c r="S38" s="10"/>
      <c r="T38" s="10"/>
    </row>
    <row r="39" spans="1:20" ht="26.4" x14ac:dyDescent="0.5">
      <c r="A39" s="126">
        <v>29</v>
      </c>
      <c r="B39" s="136" t="s">
        <v>35</v>
      </c>
      <c r="C39" s="158" t="s">
        <v>13</v>
      </c>
      <c r="D39" s="165">
        <v>8</v>
      </c>
      <c r="E39" s="177" t="s">
        <v>16</v>
      </c>
      <c r="F39" s="165">
        <v>8</v>
      </c>
      <c r="G39" s="194" t="s">
        <v>15</v>
      </c>
      <c r="H39" s="165">
        <v>8</v>
      </c>
      <c r="I39" s="192" t="s">
        <v>32</v>
      </c>
      <c r="J39" s="165"/>
      <c r="K39" s="192" t="s">
        <v>12</v>
      </c>
      <c r="L39" s="211"/>
      <c r="M39" s="150" t="s">
        <v>14</v>
      </c>
      <c r="N39" s="142">
        <v>8</v>
      </c>
      <c r="R39" s="11"/>
      <c r="S39" s="10"/>
      <c r="T39" s="10"/>
    </row>
    <row r="40" spans="1:20" ht="27" thickBot="1" x14ac:dyDescent="0.55000000000000004">
      <c r="A40" s="123">
        <v>30</v>
      </c>
      <c r="B40" s="123" t="s">
        <v>11</v>
      </c>
      <c r="C40" s="124" t="s">
        <v>12</v>
      </c>
      <c r="D40" s="170"/>
      <c r="E40" s="208" t="s">
        <v>13</v>
      </c>
      <c r="F40" s="184">
        <v>8</v>
      </c>
      <c r="G40" s="197" t="s">
        <v>15</v>
      </c>
      <c r="H40" s="184">
        <v>8</v>
      </c>
      <c r="I40" s="203" t="s">
        <v>32</v>
      </c>
      <c r="J40" s="184"/>
      <c r="K40" s="203" t="s">
        <v>32</v>
      </c>
      <c r="L40" s="184"/>
      <c r="M40" s="219" t="s">
        <v>14</v>
      </c>
      <c r="N40" s="172">
        <v>8</v>
      </c>
      <c r="R40" s="14"/>
      <c r="S40" s="10"/>
      <c r="T40" s="10"/>
    </row>
    <row r="41" spans="1:20" ht="28.2" thickBot="1" x14ac:dyDescent="0.55000000000000004">
      <c r="C41" s="13"/>
      <c r="D41" s="12">
        <f>SUM(D11:D40)</f>
        <v>152</v>
      </c>
      <c r="E41" s="13"/>
      <c r="F41" s="12">
        <f>SUM(F11:F40)</f>
        <v>144</v>
      </c>
      <c r="G41" s="13"/>
      <c r="H41" s="12">
        <f>SUM(H11:H40)</f>
        <v>178</v>
      </c>
      <c r="I41" s="13"/>
      <c r="J41" s="12">
        <f>SUM(J11:J40)</f>
        <v>97</v>
      </c>
      <c r="K41" s="13"/>
      <c r="L41" s="12">
        <f>SUM(L11:L40)</f>
        <v>157</v>
      </c>
      <c r="M41" s="13"/>
      <c r="N41" s="12">
        <f>SUM(N11:N40)</f>
        <v>176</v>
      </c>
      <c r="R41" s="11"/>
      <c r="S41" s="10"/>
    </row>
    <row r="42" spans="1:20" ht="26.4" thickTop="1" x14ac:dyDescent="0.5">
      <c r="C42" s="268" t="s">
        <v>32</v>
      </c>
      <c r="D42" s="269">
        <f>COUNTIF(C11:C40,"FERIE")*8</f>
        <v>16</v>
      </c>
      <c r="E42" s="268" t="s">
        <v>32</v>
      </c>
      <c r="F42" s="269">
        <f>COUNTIF(E11:E40,"FERIE")*8</f>
        <v>32</v>
      </c>
      <c r="G42" s="268" t="s">
        <v>32</v>
      </c>
      <c r="H42" s="269">
        <f>COUNTIF(G11:G40,"FERIE")*8</f>
        <v>0</v>
      </c>
      <c r="I42" s="268" t="s">
        <v>32</v>
      </c>
      <c r="J42" s="269">
        <f>COUNTIF(I11:I40,"FERIE")*8</f>
        <v>80</v>
      </c>
      <c r="K42" s="268" t="s">
        <v>32</v>
      </c>
      <c r="L42" s="269">
        <f>COUNTIF(K11:K40,"FERIE")*8+3</f>
        <v>51</v>
      </c>
      <c r="M42" s="268" t="s">
        <v>32</v>
      </c>
      <c r="N42" s="269">
        <f>COUNTIF(M11:M40,"FERIE")*8</f>
        <v>0</v>
      </c>
      <c r="R42" s="11"/>
      <c r="S42" s="10"/>
    </row>
    <row r="43" spans="1:20" ht="25.8" x14ac:dyDescent="0.5">
      <c r="C43" s="268" t="s">
        <v>55</v>
      </c>
      <c r="D43" s="269">
        <f>COUNTIF(C11:C40,"riposo")</f>
        <v>9</v>
      </c>
      <c r="E43" s="268" t="s">
        <v>55</v>
      </c>
      <c r="F43" s="269">
        <f>COUNTIF(E11:E40,"riposo")</f>
        <v>8</v>
      </c>
      <c r="G43" s="268" t="s">
        <v>55</v>
      </c>
      <c r="H43" s="269">
        <f>COUNTIF(G11:G40,"riposo")</f>
        <v>8</v>
      </c>
      <c r="I43" s="268" t="s">
        <v>55</v>
      </c>
      <c r="J43" s="269">
        <f>COUNTIF(I11:I40,"riposo")</f>
        <v>8</v>
      </c>
      <c r="K43" s="268" t="s">
        <v>55</v>
      </c>
      <c r="L43" s="269">
        <f>COUNTIF(K11:K40,"riposo")</f>
        <v>4</v>
      </c>
      <c r="M43" s="268" t="s">
        <v>55</v>
      </c>
      <c r="N43" s="269">
        <f>COUNTIF(M11:M40,"riposo")</f>
        <v>8</v>
      </c>
      <c r="R43" s="11"/>
      <c r="S43" s="10"/>
    </row>
    <row r="44" spans="1:20" ht="25.8" x14ac:dyDescent="0.5">
      <c r="C44" s="268" t="s">
        <v>56</v>
      </c>
      <c r="D44" s="269">
        <f>+D41-D42-D43</f>
        <v>127</v>
      </c>
      <c r="E44" s="268" t="s">
        <v>56</v>
      </c>
      <c r="F44" s="269">
        <f>+F41-F42-F43</f>
        <v>104</v>
      </c>
      <c r="G44" s="268" t="s">
        <v>56</v>
      </c>
      <c r="H44" s="269">
        <f t="shared" ref="H44" si="0">+H41-H42-H43</f>
        <v>170</v>
      </c>
      <c r="I44" s="268" t="s">
        <v>56</v>
      </c>
      <c r="J44" s="269">
        <f t="shared" ref="J44" si="1">+J41-J42-J43</f>
        <v>9</v>
      </c>
      <c r="K44" s="268" t="s">
        <v>56</v>
      </c>
      <c r="L44" s="269">
        <f t="shared" ref="L44" si="2">+L41-L42-L43</f>
        <v>102</v>
      </c>
      <c r="M44" s="268" t="s">
        <v>56</v>
      </c>
      <c r="N44" s="269">
        <f t="shared" ref="N44" si="3">+N41-N42-N43</f>
        <v>168</v>
      </c>
      <c r="R44" s="11"/>
      <c r="S44" s="10"/>
    </row>
    <row r="45" spans="1:20" ht="25.8" x14ac:dyDescent="0.5">
      <c r="R45" s="11"/>
      <c r="S45" s="10"/>
    </row>
    <row r="49" spans="3:17" ht="25.2" x14ac:dyDescent="0.4">
      <c r="C49" s="9" t="s">
        <v>41</v>
      </c>
      <c r="D49" s="1">
        <v>0</v>
      </c>
      <c r="E49" s="4"/>
      <c r="F49" s="1">
        <v>160</v>
      </c>
      <c r="G49" s="4"/>
      <c r="H49" s="1">
        <v>16</v>
      </c>
      <c r="I49" s="4"/>
      <c r="J49" s="1">
        <v>0</v>
      </c>
      <c r="K49" s="4"/>
      <c r="L49" s="1">
        <v>0</v>
      </c>
      <c r="M49" s="4"/>
      <c r="N49" s="1">
        <v>0</v>
      </c>
      <c r="O49" s="4"/>
      <c r="P49" s="4"/>
      <c r="Q49" s="1">
        <f>SUM(D49:N49)</f>
        <v>176</v>
      </c>
    </row>
    <row r="50" spans="3:17" ht="25.2" x14ac:dyDescent="0.4">
      <c r="C50" s="6"/>
      <c r="D50" s="1"/>
      <c r="E50" s="4"/>
      <c r="F50" s="1"/>
      <c r="G50" s="4"/>
      <c r="H50" s="1"/>
      <c r="I50" s="4"/>
      <c r="J50" s="1"/>
      <c r="K50" s="4"/>
      <c r="L50" s="1"/>
      <c r="M50" s="4"/>
      <c r="N50" s="1"/>
      <c r="O50" s="4"/>
      <c r="P50" s="4"/>
      <c r="Q50" s="1"/>
    </row>
    <row r="51" spans="3:17" ht="25.2" x14ac:dyDescent="0.4">
      <c r="C51" s="8" t="s">
        <v>42</v>
      </c>
      <c r="D51" s="1">
        <v>160</v>
      </c>
      <c r="E51" s="4"/>
      <c r="F51" s="1">
        <v>24</v>
      </c>
      <c r="G51" s="4"/>
      <c r="H51" s="1">
        <v>160</v>
      </c>
      <c r="I51" s="4"/>
      <c r="J51" s="1">
        <v>64</v>
      </c>
      <c r="K51" s="4"/>
      <c r="L51" s="1">
        <v>144</v>
      </c>
      <c r="M51" s="4"/>
      <c r="N51" s="1">
        <v>168</v>
      </c>
      <c r="O51" s="4"/>
      <c r="P51" s="4"/>
      <c r="Q51" s="1">
        <f>SUM(D51:N51)</f>
        <v>720</v>
      </c>
    </row>
    <row r="52" spans="3:17" ht="25.2" x14ac:dyDescent="0.4">
      <c r="C52" s="6"/>
      <c r="D52" s="1"/>
      <c r="E52" s="4"/>
      <c r="F52" s="1"/>
      <c r="G52" s="4"/>
      <c r="H52" s="1"/>
      <c r="I52" s="4"/>
      <c r="J52" s="1"/>
      <c r="K52" s="4"/>
      <c r="L52" s="1"/>
      <c r="M52" s="4"/>
      <c r="N52" s="1"/>
      <c r="O52" s="4"/>
      <c r="P52" s="4"/>
      <c r="Q52" s="1"/>
    </row>
    <row r="53" spans="3:17" ht="25.2" x14ac:dyDescent="0.4">
      <c r="C53" s="7" t="s">
        <v>43</v>
      </c>
      <c r="D53" s="1">
        <v>0</v>
      </c>
      <c r="E53" s="4"/>
      <c r="F53" s="1">
        <v>0</v>
      </c>
      <c r="G53" s="4"/>
      <c r="H53" s="1">
        <v>0</v>
      </c>
      <c r="I53" s="4"/>
      <c r="J53" s="1">
        <v>0</v>
      </c>
      <c r="K53" s="4"/>
      <c r="L53" s="1">
        <v>0</v>
      </c>
      <c r="M53" s="4"/>
      <c r="N53" s="1">
        <v>0</v>
      </c>
      <c r="O53" s="4"/>
      <c r="P53" s="4"/>
      <c r="Q53" s="1">
        <f>SUM(D53:N53)</f>
        <v>0</v>
      </c>
    </row>
    <row r="54" spans="3:17" ht="25.2" x14ac:dyDescent="0.4">
      <c r="C54" s="6"/>
      <c r="D54" s="1"/>
      <c r="E54" s="4"/>
      <c r="F54" s="1"/>
      <c r="G54" s="4"/>
      <c r="H54" s="1"/>
      <c r="I54" s="4"/>
      <c r="J54" s="1"/>
      <c r="K54" s="4"/>
      <c r="L54" s="1"/>
      <c r="M54" s="4"/>
      <c r="N54" s="1"/>
      <c r="O54" s="4"/>
      <c r="P54" s="4"/>
      <c r="Q54" s="1"/>
    </row>
    <row r="55" spans="3:17" ht="25.2" x14ac:dyDescent="0.4">
      <c r="C55" s="5" t="s">
        <v>44</v>
      </c>
      <c r="D55" s="1">
        <v>80</v>
      </c>
      <c r="E55" s="4"/>
      <c r="F55" s="1">
        <v>56</v>
      </c>
      <c r="G55" s="4"/>
      <c r="H55" s="1">
        <v>64</v>
      </c>
      <c r="I55" s="4"/>
      <c r="J55" s="1">
        <v>176</v>
      </c>
      <c r="K55" s="4"/>
      <c r="L55" s="1">
        <v>96</v>
      </c>
      <c r="M55" s="4"/>
      <c r="N55" s="1">
        <v>72</v>
      </c>
      <c r="O55" s="4"/>
      <c r="P55" s="4"/>
      <c r="Q55" s="1">
        <f>SUM(D55:N55)</f>
        <v>544</v>
      </c>
    </row>
    <row r="56" spans="3:17" ht="25.2" x14ac:dyDescent="0.4">
      <c r="C56" s="4"/>
      <c r="D56" s="1"/>
      <c r="E56" s="4"/>
      <c r="F56" s="1"/>
      <c r="G56" s="4"/>
      <c r="H56" s="1"/>
      <c r="I56" s="4"/>
      <c r="J56" s="1"/>
      <c r="K56" s="4"/>
      <c r="L56" s="1"/>
      <c r="M56" s="4"/>
      <c r="N56" s="1"/>
      <c r="O56" s="4"/>
      <c r="P56" s="4"/>
      <c r="Q56" s="1"/>
    </row>
    <row r="57" spans="3:17" ht="25.2" x14ac:dyDescent="0.4">
      <c r="C57" s="2"/>
      <c r="D57" s="3">
        <f>SUM(D49:D53)</f>
        <v>160</v>
      </c>
      <c r="E57" s="2"/>
      <c r="F57" s="3">
        <f>SUM(F49:F53)</f>
        <v>184</v>
      </c>
      <c r="G57" s="2"/>
      <c r="H57" s="3">
        <f>H49+H51+H53</f>
        <v>176</v>
      </c>
      <c r="I57" s="2"/>
      <c r="J57" s="3">
        <f>SUM(J49:J53)</f>
        <v>64</v>
      </c>
      <c r="K57" s="2"/>
      <c r="L57" s="3">
        <f>SUM(L49:L53)</f>
        <v>144</v>
      </c>
      <c r="M57" s="2"/>
      <c r="N57" s="3">
        <f>SUM(N49:N53)</f>
        <v>168</v>
      </c>
      <c r="O57" s="2"/>
      <c r="P57" s="2"/>
      <c r="Q57" s="1">
        <f>SUM(D57:N57)</f>
        <v>896</v>
      </c>
    </row>
  </sheetData>
  <pageMargins left="0.7" right="0.7" top="0.75" bottom="0.75" header="0.3" footer="0.3"/>
  <pageSetup paperSize="8" scale="3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2:Z59"/>
  <sheetViews>
    <sheetView zoomScale="50" zoomScaleNormal="50" zoomScaleSheetLayoutView="40" zoomScalePageLayoutView="40" workbookViewId="0">
      <pane ySplit="8" topLeftCell="A9" activePane="bottomLeft" state="frozen"/>
      <selection pane="bottomLeft" activeCell="E34" sqref="E34:E38"/>
    </sheetView>
  </sheetViews>
  <sheetFormatPr defaultColWidth="14.44140625" defaultRowHeight="14.4" x14ac:dyDescent="0.3"/>
  <cols>
    <col min="1" max="2" width="21.6640625" customWidth="1"/>
    <col min="3" max="3" width="30.6640625" customWidth="1"/>
    <col min="4" max="4" width="14.44140625" customWidth="1"/>
    <col min="5" max="5" width="30.6640625" customWidth="1"/>
    <col min="6" max="6" width="14.44140625" customWidth="1"/>
    <col min="7" max="7" width="32.6640625" customWidth="1"/>
    <col min="8" max="8" width="15.5546875" customWidth="1"/>
    <col min="9" max="9" width="31.44140625" customWidth="1"/>
    <col min="10" max="10" width="14.6640625" customWidth="1"/>
    <col min="11" max="11" width="29.33203125" customWidth="1"/>
    <col min="12" max="12" width="15.5546875" customWidth="1"/>
    <col min="13" max="13" width="34.44140625" customWidth="1"/>
    <col min="14" max="14" width="15.5546875" customWidth="1"/>
    <col min="15" max="16" width="9.109375" customWidth="1"/>
    <col min="17" max="18" width="33.88671875" customWidth="1"/>
    <col min="19" max="19" width="67.44140625" customWidth="1"/>
    <col min="20" max="26" width="9.109375" customWidth="1"/>
  </cols>
  <sheetData>
    <row r="2" spans="1:26" ht="24" x14ac:dyDescent="0.45">
      <c r="A2" s="79"/>
      <c r="B2" s="79"/>
      <c r="C2" s="78"/>
      <c r="D2" s="79" t="s">
        <v>0</v>
      </c>
      <c r="E2" s="78"/>
      <c r="F2" s="79"/>
      <c r="G2" s="79"/>
      <c r="H2" s="78"/>
      <c r="I2" s="78"/>
      <c r="J2" s="78"/>
      <c r="K2" s="79"/>
      <c r="L2" s="78"/>
      <c r="M2" s="79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24" x14ac:dyDescent="0.45">
      <c r="A3" s="79"/>
      <c r="B3" s="79"/>
      <c r="C3" s="78"/>
      <c r="D3" s="79" t="s">
        <v>1</v>
      </c>
      <c r="E3" s="78"/>
      <c r="F3" s="79"/>
      <c r="G3" s="79"/>
      <c r="H3" s="78"/>
      <c r="I3" s="78"/>
      <c r="J3" s="78"/>
      <c r="K3" s="79"/>
      <c r="L3" s="78"/>
      <c r="M3" s="79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thickBot="1" x14ac:dyDescent="0.35"/>
    <row r="5" spans="1:26" ht="54.6" thickTop="1" thickBot="1" x14ac:dyDescent="0.35">
      <c r="A5" s="653" t="s">
        <v>2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 s="654"/>
      <c r="N5" s="655"/>
    </row>
    <row r="6" spans="1:26" ht="27" thickTop="1" thickBot="1" x14ac:dyDescent="0.35">
      <c r="A6" s="656" t="s">
        <v>57</v>
      </c>
      <c r="B6" s="657"/>
      <c r="C6" s="660"/>
      <c r="D6" s="661"/>
      <c r="E6" s="661"/>
      <c r="F6" s="661"/>
      <c r="G6" s="661"/>
      <c r="H6" s="661"/>
      <c r="I6" s="661"/>
      <c r="J6" s="661"/>
      <c r="K6" s="661"/>
      <c r="L6" s="661"/>
      <c r="M6" s="661"/>
      <c r="N6" s="662"/>
    </row>
    <row r="7" spans="1:26" ht="15" thickTop="1" x14ac:dyDescent="0.3">
      <c r="A7" s="658"/>
      <c r="B7" s="658"/>
      <c r="C7" s="663" t="s">
        <v>4</v>
      </c>
      <c r="D7" s="649" t="s">
        <v>5</v>
      </c>
      <c r="E7" s="664" t="s">
        <v>6</v>
      </c>
      <c r="F7" s="649" t="s">
        <v>5</v>
      </c>
      <c r="G7" s="665" t="s">
        <v>7</v>
      </c>
      <c r="H7" s="649" t="s">
        <v>5</v>
      </c>
      <c r="I7" s="666" t="s">
        <v>8</v>
      </c>
      <c r="J7" s="649" t="s">
        <v>5</v>
      </c>
      <c r="K7" s="651" t="s">
        <v>9</v>
      </c>
      <c r="L7" s="649" t="s">
        <v>5</v>
      </c>
      <c r="M7" s="652" t="s">
        <v>10</v>
      </c>
      <c r="N7" s="649" t="s">
        <v>5</v>
      </c>
    </row>
    <row r="8" spans="1:26" ht="24" thickBot="1" x14ac:dyDescent="0.5">
      <c r="A8" s="659"/>
      <c r="B8" s="659"/>
      <c r="C8" s="650"/>
      <c r="D8" s="650"/>
      <c r="E8" s="650"/>
      <c r="F8" s="650"/>
      <c r="G8" s="650"/>
      <c r="H8" s="650"/>
      <c r="I8" s="650"/>
      <c r="J8" s="650"/>
      <c r="K8" s="650"/>
      <c r="L8" s="650"/>
      <c r="M8" s="650"/>
      <c r="N8" s="650"/>
      <c r="T8" s="78"/>
      <c r="U8" s="78"/>
      <c r="V8" s="78"/>
    </row>
    <row r="9" spans="1:26" ht="15" thickTop="1" x14ac:dyDescent="0.3"/>
    <row r="10" spans="1:26" ht="15" thickBot="1" x14ac:dyDescent="0.35"/>
    <row r="11" spans="1:26" ht="30" thickTop="1" thickBot="1" x14ac:dyDescent="0.6">
      <c r="A11" s="221">
        <v>1</v>
      </c>
      <c r="B11" s="83" t="s">
        <v>19</v>
      </c>
      <c r="C11" s="543" t="s">
        <v>12</v>
      </c>
      <c r="D11" s="262"/>
      <c r="E11" s="544" t="s">
        <v>12</v>
      </c>
      <c r="F11" s="17"/>
      <c r="G11" s="240" t="s">
        <v>15</v>
      </c>
      <c r="H11" s="25">
        <v>8</v>
      </c>
      <c r="I11" s="244" t="s">
        <v>12</v>
      </c>
      <c r="J11" s="239"/>
      <c r="K11" s="257" t="s">
        <v>13</v>
      </c>
      <c r="L11" s="25">
        <v>8</v>
      </c>
      <c r="M11" s="252" t="s">
        <v>14</v>
      </c>
      <c r="N11" s="25">
        <v>8</v>
      </c>
      <c r="Q11" s="77" t="s">
        <v>17</v>
      </c>
      <c r="R11" s="76" t="s">
        <v>18</v>
      </c>
      <c r="S11" s="75"/>
    </row>
    <row r="12" spans="1:26" ht="30" thickTop="1" thickBot="1" x14ac:dyDescent="0.6">
      <c r="A12" s="222">
        <v>2</v>
      </c>
      <c r="B12" s="82" t="s">
        <v>22</v>
      </c>
      <c r="C12" s="258" t="s">
        <v>13</v>
      </c>
      <c r="D12" s="17">
        <v>8</v>
      </c>
      <c r="E12" s="236" t="s">
        <v>12</v>
      </c>
      <c r="F12" s="17"/>
      <c r="G12" s="236" t="s">
        <v>12</v>
      </c>
      <c r="H12" s="17"/>
      <c r="I12" s="236" t="s">
        <v>12</v>
      </c>
      <c r="J12" s="17"/>
      <c r="K12" s="21" t="s">
        <v>15</v>
      </c>
      <c r="L12" s="256">
        <v>8</v>
      </c>
      <c r="M12" s="253" t="s">
        <v>14</v>
      </c>
      <c r="N12" s="228">
        <v>8</v>
      </c>
      <c r="Q12" s="74" t="s">
        <v>20</v>
      </c>
      <c r="R12" s="73" t="s">
        <v>21</v>
      </c>
      <c r="S12" s="72"/>
    </row>
    <row r="13" spans="1:26" ht="30" thickTop="1" thickBot="1" x14ac:dyDescent="0.6">
      <c r="A13" s="51">
        <v>3</v>
      </c>
      <c r="B13" s="51" t="s">
        <v>25</v>
      </c>
      <c r="C13" s="233" t="s">
        <v>16</v>
      </c>
      <c r="D13" s="227">
        <v>8</v>
      </c>
      <c r="E13" s="49" t="s">
        <v>14</v>
      </c>
      <c r="F13" s="227">
        <v>8</v>
      </c>
      <c r="G13" s="241" t="s">
        <v>13</v>
      </c>
      <c r="H13" s="46">
        <v>8</v>
      </c>
      <c r="I13" s="249" t="s">
        <v>32</v>
      </c>
      <c r="J13" s="227"/>
      <c r="K13" s="41" t="s">
        <v>15</v>
      </c>
      <c r="L13" s="227">
        <v>8</v>
      </c>
      <c r="M13" s="249" t="s">
        <v>12</v>
      </c>
      <c r="N13" s="46"/>
      <c r="Q13" s="71" t="s">
        <v>23</v>
      </c>
      <c r="R13" s="70" t="s">
        <v>24</v>
      </c>
      <c r="S13" s="69"/>
    </row>
    <row r="14" spans="1:26" ht="30" thickTop="1" thickBot="1" x14ac:dyDescent="0.6">
      <c r="A14" s="44">
        <v>4</v>
      </c>
      <c r="B14" s="44" t="s">
        <v>28</v>
      </c>
      <c r="C14" s="233" t="s">
        <v>16</v>
      </c>
      <c r="D14" s="227">
        <v>8</v>
      </c>
      <c r="E14" s="43" t="s">
        <v>14</v>
      </c>
      <c r="F14" s="226">
        <v>8</v>
      </c>
      <c r="G14" s="242" t="s">
        <v>13</v>
      </c>
      <c r="H14" s="39">
        <v>8</v>
      </c>
      <c r="I14" s="249" t="s">
        <v>32</v>
      </c>
      <c r="J14" s="227"/>
      <c r="K14" s="250" t="s">
        <v>12</v>
      </c>
      <c r="L14" s="39"/>
      <c r="M14" s="248" t="s">
        <v>15</v>
      </c>
      <c r="N14" s="264">
        <v>8</v>
      </c>
      <c r="Q14" s="68" t="s">
        <v>26</v>
      </c>
      <c r="R14" s="67" t="s">
        <v>27</v>
      </c>
      <c r="S14" s="66"/>
    </row>
    <row r="15" spans="1:26" ht="30" thickTop="1" thickBot="1" x14ac:dyDescent="0.6">
      <c r="A15" s="44">
        <v>5</v>
      </c>
      <c r="B15" s="44" t="s">
        <v>31</v>
      </c>
      <c r="C15" s="233" t="s">
        <v>16</v>
      </c>
      <c r="D15" s="227">
        <v>8</v>
      </c>
      <c r="E15" s="49" t="s">
        <v>14</v>
      </c>
      <c r="F15" s="227">
        <v>8</v>
      </c>
      <c r="G15" s="242" t="s">
        <v>13</v>
      </c>
      <c r="H15" s="39">
        <v>8</v>
      </c>
      <c r="I15" s="249" t="s">
        <v>32</v>
      </c>
      <c r="J15" s="227"/>
      <c r="K15" s="250" t="s">
        <v>12</v>
      </c>
      <c r="L15" s="226"/>
      <c r="M15" s="41" t="s">
        <v>15</v>
      </c>
      <c r="N15" s="227">
        <v>8</v>
      </c>
      <c r="Q15" s="65" t="s">
        <v>29</v>
      </c>
      <c r="R15" s="612" t="s">
        <v>30</v>
      </c>
      <c r="S15" s="611"/>
    </row>
    <row r="16" spans="1:26" ht="28.8" x14ac:dyDescent="0.55000000000000004">
      <c r="A16" s="44">
        <v>6</v>
      </c>
      <c r="B16" s="44" t="s">
        <v>35</v>
      </c>
      <c r="C16" s="233" t="s">
        <v>16</v>
      </c>
      <c r="D16" s="227">
        <v>8</v>
      </c>
      <c r="E16" s="250" t="s">
        <v>12</v>
      </c>
      <c r="F16" s="39"/>
      <c r="G16" s="241" t="s">
        <v>13</v>
      </c>
      <c r="H16" s="39">
        <v>8</v>
      </c>
      <c r="I16" s="249" t="s">
        <v>32</v>
      </c>
      <c r="J16" s="227"/>
      <c r="K16" s="41" t="s">
        <v>15</v>
      </c>
      <c r="L16" s="227">
        <v>8</v>
      </c>
      <c r="M16" s="43" t="s">
        <v>14</v>
      </c>
      <c r="N16" s="226">
        <v>8</v>
      </c>
      <c r="Q16" s="64" t="s">
        <v>33</v>
      </c>
      <c r="R16" s="610" t="s">
        <v>34</v>
      </c>
      <c r="S16" s="611"/>
    </row>
    <row r="17" spans="1:20" ht="25.8" x14ac:dyDescent="0.4">
      <c r="A17" s="38">
        <v>7</v>
      </c>
      <c r="B17" s="38" t="s">
        <v>11</v>
      </c>
      <c r="C17" s="234" t="s">
        <v>16</v>
      </c>
      <c r="D17" s="238">
        <v>8</v>
      </c>
      <c r="E17" s="259" t="s">
        <v>13</v>
      </c>
      <c r="F17" s="31">
        <v>8</v>
      </c>
      <c r="G17" s="243" t="s">
        <v>12</v>
      </c>
      <c r="H17" s="31"/>
      <c r="I17" s="249" t="s">
        <v>32</v>
      </c>
      <c r="J17" s="227"/>
      <c r="K17" s="33" t="s">
        <v>15</v>
      </c>
      <c r="L17" s="238">
        <v>8</v>
      </c>
      <c r="M17" s="251" t="s">
        <v>14</v>
      </c>
      <c r="N17" s="31">
        <v>8</v>
      </c>
    </row>
    <row r="18" spans="1:20" ht="25.8" x14ac:dyDescent="0.4">
      <c r="A18" s="223">
        <v>8</v>
      </c>
      <c r="B18" s="83" t="s">
        <v>19</v>
      </c>
      <c r="C18" s="235" t="s">
        <v>12</v>
      </c>
      <c r="D18" s="239"/>
      <c r="E18" s="257" t="s">
        <v>13</v>
      </c>
      <c r="F18" s="25">
        <v>8</v>
      </c>
      <c r="G18" s="244" t="s">
        <v>12</v>
      </c>
      <c r="H18" s="25"/>
      <c r="I18" s="247" t="s">
        <v>12</v>
      </c>
      <c r="J18" s="25"/>
      <c r="K18" s="254" t="s">
        <v>15</v>
      </c>
      <c r="L18" s="225">
        <v>8</v>
      </c>
      <c r="M18" s="252" t="s">
        <v>14</v>
      </c>
      <c r="N18" s="25">
        <v>8</v>
      </c>
    </row>
    <row r="19" spans="1:20" ht="27.6" thickTop="1" thickBot="1" x14ac:dyDescent="0.55000000000000004">
      <c r="A19" s="224">
        <v>9</v>
      </c>
      <c r="B19" s="82" t="s">
        <v>22</v>
      </c>
      <c r="C19" s="229" t="s">
        <v>12</v>
      </c>
      <c r="D19" s="17"/>
      <c r="E19" s="229" t="s">
        <v>12</v>
      </c>
      <c r="F19" s="17"/>
      <c r="G19" s="245" t="s">
        <v>13</v>
      </c>
      <c r="H19" s="17">
        <v>8</v>
      </c>
      <c r="I19" s="236" t="s">
        <v>12</v>
      </c>
      <c r="J19" s="17"/>
      <c r="K19" s="21" t="s">
        <v>15</v>
      </c>
      <c r="L19" s="17">
        <v>8</v>
      </c>
      <c r="M19" s="253" t="s">
        <v>14</v>
      </c>
      <c r="N19" s="228">
        <v>8</v>
      </c>
      <c r="P19" s="11"/>
      <c r="Q19" s="11"/>
      <c r="R19" s="11"/>
      <c r="S19" s="11"/>
    </row>
    <row r="20" spans="1:20" ht="27.6" thickTop="1" thickBot="1" x14ac:dyDescent="0.55000000000000004">
      <c r="A20" s="51">
        <v>10</v>
      </c>
      <c r="B20" s="51" t="s">
        <v>25</v>
      </c>
      <c r="C20" s="89" t="s">
        <v>16</v>
      </c>
      <c r="D20" s="88">
        <v>8</v>
      </c>
      <c r="E20" s="260" t="s">
        <v>16</v>
      </c>
      <c r="F20" s="227">
        <v>8</v>
      </c>
      <c r="G20" s="49" t="s">
        <v>14</v>
      </c>
      <c r="H20" s="227">
        <v>8</v>
      </c>
      <c r="I20" s="41" t="s">
        <v>15</v>
      </c>
      <c r="J20" s="227">
        <v>8</v>
      </c>
      <c r="K20" s="241" t="s">
        <v>13</v>
      </c>
      <c r="L20" s="46">
        <v>8</v>
      </c>
      <c r="M20" s="249" t="s">
        <v>12</v>
      </c>
      <c r="N20" s="225"/>
      <c r="P20" s="11"/>
      <c r="Q20" s="11"/>
      <c r="R20" s="11"/>
      <c r="S20" s="10"/>
    </row>
    <row r="21" spans="1:20" ht="27" thickTop="1" thickBot="1" x14ac:dyDescent="0.45">
      <c r="A21" s="44">
        <v>11</v>
      </c>
      <c r="B21" s="44" t="s">
        <v>28</v>
      </c>
      <c r="C21" s="89" t="s">
        <v>16</v>
      </c>
      <c r="D21" s="88">
        <v>8</v>
      </c>
      <c r="E21" s="260" t="s">
        <v>16</v>
      </c>
      <c r="F21" s="227">
        <v>8</v>
      </c>
      <c r="G21" s="43" t="s">
        <v>14</v>
      </c>
      <c r="H21" s="226">
        <v>8</v>
      </c>
      <c r="I21" s="248" t="s">
        <v>15</v>
      </c>
      <c r="J21" s="226">
        <v>8</v>
      </c>
      <c r="K21" s="242" t="s">
        <v>13</v>
      </c>
      <c r="L21" s="39">
        <v>8</v>
      </c>
      <c r="M21" s="249" t="s">
        <v>12</v>
      </c>
      <c r="N21" s="227"/>
    </row>
    <row r="22" spans="1:20" ht="27.6" thickTop="1" thickBot="1" x14ac:dyDescent="0.55000000000000004">
      <c r="A22" s="44">
        <v>12</v>
      </c>
      <c r="B22" s="44" t="s">
        <v>31</v>
      </c>
      <c r="C22" s="89" t="s">
        <v>16</v>
      </c>
      <c r="D22" s="88">
        <v>8</v>
      </c>
      <c r="E22" s="260" t="s">
        <v>16</v>
      </c>
      <c r="F22" s="227">
        <v>8</v>
      </c>
      <c r="G22" s="49" t="s">
        <v>14</v>
      </c>
      <c r="H22" s="227">
        <v>8</v>
      </c>
      <c r="I22" s="249" t="s">
        <v>12</v>
      </c>
      <c r="J22" s="227"/>
      <c r="K22" s="242" t="s">
        <v>13</v>
      </c>
      <c r="L22" s="39">
        <v>8</v>
      </c>
      <c r="M22" s="41" t="s">
        <v>15</v>
      </c>
      <c r="N22" s="227">
        <v>8</v>
      </c>
      <c r="R22" s="11"/>
      <c r="S22" s="10"/>
    </row>
    <row r="23" spans="1:20" ht="27.6" thickTop="1" thickBot="1" x14ac:dyDescent="0.55000000000000004">
      <c r="A23" s="44">
        <v>13</v>
      </c>
      <c r="B23" s="44" t="s">
        <v>35</v>
      </c>
      <c r="C23" s="230" t="s">
        <v>12</v>
      </c>
      <c r="D23" s="39"/>
      <c r="E23" s="260" t="s">
        <v>16</v>
      </c>
      <c r="F23" s="227">
        <v>8</v>
      </c>
      <c r="G23" s="43" t="s">
        <v>14</v>
      </c>
      <c r="H23" s="226">
        <v>8</v>
      </c>
      <c r="I23" s="249" t="s">
        <v>12</v>
      </c>
      <c r="J23" s="227"/>
      <c r="K23" s="274" t="s">
        <v>13</v>
      </c>
      <c r="L23" s="39">
        <v>8</v>
      </c>
      <c r="M23" s="41" t="s">
        <v>15</v>
      </c>
      <c r="N23" s="227">
        <v>8</v>
      </c>
      <c r="Q23" s="60" t="s">
        <v>36</v>
      </c>
      <c r="R23" s="11"/>
      <c r="S23" s="10"/>
    </row>
    <row r="24" spans="1:20" ht="27.6" thickTop="1" thickBot="1" x14ac:dyDescent="0.55000000000000004">
      <c r="A24" s="38">
        <v>14</v>
      </c>
      <c r="B24" s="38" t="s">
        <v>11</v>
      </c>
      <c r="C24" s="231" t="s">
        <v>13</v>
      </c>
      <c r="D24" s="31">
        <v>8</v>
      </c>
      <c r="E24" s="261" t="s">
        <v>16</v>
      </c>
      <c r="F24" s="238">
        <v>8</v>
      </c>
      <c r="G24" s="246" t="s">
        <v>12</v>
      </c>
      <c r="H24" s="238"/>
      <c r="I24" s="251" t="s">
        <v>14</v>
      </c>
      <c r="J24" s="238">
        <v>8</v>
      </c>
      <c r="K24" s="18" t="s">
        <v>12</v>
      </c>
      <c r="L24" s="31"/>
      <c r="M24" s="33" t="s">
        <v>15</v>
      </c>
      <c r="N24" s="228">
        <v>8</v>
      </c>
      <c r="R24" s="11"/>
      <c r="S24" s="10"/>
    </row>
    <row r="25" spans="1:20" ht="27.6" thickTop="1" thickBot="1" x14ac:dyDescent="0.55000000000000004">
      <c r="A25" s="223">
        <v>15</v>
      </c>
      <c r="B25" s="83" t="s">
        <v>19</v>
      </c>
      <c r="C25" s="232" t="s">
        <v>13</v>
      </c>
      <c r="D25" s="25">
        <v>8</v>
      </c>
      <c r="E25" s="244" t="s">
        <v>12</v>
      </c>
      <c r="F25" s="239"/>
      <c r="G25" s="247" t="s">
        <v>12</v>
      </c>
      <c r="H25" s="25"/>
      <c r="I25" s="252" t="s">
        <v>14</v>
      </c>
      <c r="J25" s="25">
        <v>8</v>
      </c>
      <c r="K25" s="244" t="s">
        <v>12</v>
      </c>
      <c r="L25" s="25"/>
      <c r="M25" s="254" t="s">
        <v>15</v>
      </c>
      <c r="N25" s="225">
        <v>8</v>
      </c>
      <c r="Q25" s="59" t="s">
        <v>38</v>
      </c>
      <c r="R25" s="11"/>
      <c r="S25" s="10"/>
    </row>
    <row r="26" spans="1:20" ht="27.6" thickTop="1" thickBot="1" x14ac:dyDescent="0.55000000000000004">
      <c r="A26" s="224">
        <v>16</v>
      </c>
      <c r="B26" s="82" t="s">
        <v>22</v>
      </c>
      <c r="C26" s="229" t="s">
        <v>12</v>
      </c>
      <c r="D26" s="17"/>
      <c r="E26" s="236" t="s">
        <v>12</v>
      </c>
      <c r="F26" s="17"/>
      <c r="G26" s="21" t="s">
        <v>15</v>
      </c>
      <c r="H26" s="256">
        <v>8</v>
      </c>
      <c r="I26" s="253" t="s">
        <v>14</v>
      </c>
      <c r="J26" s="228">
        <v>8</v>
      </c>
      <c r="K26" s="245" t="s">
        <v>13</v>
      </c>
      <c r="L26" s="17">
        <v>8</v>
      </c>
      <c r="M26" s="255" t="s">
        <v>12</v>
      </c>
      <c r="N26" s="228"/>
      <c r="R26" s="14"/>
      <c r="S26" s="10"/>
    </row>
    <row r="27" spans="1:20" ht="27.6" thickTop="1" thickBot="1" x14ac:dyDescent="0.55000000000000004">
      <c r="A27" s="51">
        <v>17</v>
      </c>
      <c r="B27" s="51" t="s">
        <v>25</v>
      </c>
      <c r="C27" s="233" t="s">
        <v>16</v>
      </c>
      <c r="D27" s="227">
        <v>8</v>
      </c>
      <c r="E27" s="249" t="s">
        <v>32</v>
      </c>
      <c r="F27" s="227"/>
      <c r="G27" s="41" t="s">
        <v>15</v>
      </c>
      <c r="H27" s="227">
        <v>8</v>
      </c>
      <c r="I27" s="249" t="s">
        <v>12</v>
      </c>
      <c r="J27" s="227"/>
      <c r="K27" s="241" t="s">
        <v>13</v>
      </c>
      <c r="L27" s="227">
        <v>8</v>
      </c>
      <c r="M27" s="49" t="s">
        <v>14</v>
      </c>
      <c r="N27" s="46">
        <v>8</v>
      </c>
      <c r="Q27" s="56" t="s">
        <v>39</v>
      </c>
      <c r="R27" s="11"/>
      <c r="S27" s="10"/>
    </row>
    <row r="28" spans="1:20" ht="27.6" thickTop="1" thickBot="1" x14ac:dyDescent="0.55000000000000004">
      <c r="A28" s="44">
        <v>18</v>
      </c>
      <c r="B28" s="44" t="s">
        <v>28</v>
      </c>
      <c r="C28" s="233" t="s">
        <v>16</v>
      </c>
      <c r="D28" s="227">
        <v>8</v>
      </c>
      <c r="E28" s="249" t="s">
        <v>32</v>
      </c>
      <c r="F28" s="227"/>
      <c r="G28" s="248" t="s">
        <v>15</v>
      </c>
      <c r="H28" s="226">
        <v>8</v>
      </c>
      <c r="I28" s="249" t="s">
        <v>12</v>
      </c>
      <c r="J28" s="227"/>
      <c r="K28" s="242" t="s">
        <v>13</v>
      </c>
      <c r="L28" s="226">
        <v>8</v>
      </c>
      <c r="M28" s="43" t="s">
        <v>14</v>
      </c>
      <c r="N28" s="39">
        <v>8</v>
      </c>
      <c r="R28" s="11"/>
      <c r="S28" s="10"/>
    </row>
    <row r="29" spans="1:20" ht="27.6" thickTop="1" thickBot="1" x14ac:dyDescent="0.55000000000000004">
      <c r="A29" s="44">
        <v>19</v>
      </c>
      <c r="B29" s="44" t="s">
        <v>31</v>
      </c>
      <c r="C29" s="233" t="s">
        <v>16</v>
      </c>
      <c r="D29" s="227">
        <v>8</v>
      </c>
      <c r="E29" s="249" t="s">
        <v>32</v>
      </c>
      <c r="F29" s="227"/>
      <c r="G29" s="249" t="s">
        <v>12</v>
      </c>
      <c r="H29" s="227"/>
      <c r="I29" s="41" t="s">
        <v>15</v>
      </c>
      <c r="J29" s="227">
        <v>8</v>
      </c>
      <c r="K29" s="242" t="s">
        <v>13</v>
      </c>
      <c r="L29" s="227">
        <v>12</v>
      </c>
      <c r="M29" s="49" t="s">
        <v>14</v>
      </c>
      <c r="N29" s="39">
        <v>8</v>
      </c>
      <c r="Q29" s="55" t="s">
        <v>37</v>
      </c>
      <c r="R29" s="11"/>
      <c r="S29" s="10"/>
    </row>
    <row r="30" spans="1:20" ht="26.4" x14ac:dyDescent="0.5">
      <c r="A30" s="44">
        <v>20</v>
      </c>
      <c r="B30" s="44" t="s">
        <v>35</v>
      </c>
      <c r="C30" s="233" t="s">
        <v>16</v>
      </c>
      <c r="D30" s="227">
        <v>8</v>
      </c>
      <c r="E30" s="250" t="s">
        <v>12</v>
      </c>
      <c r="F30" s="39"/>
      <c r="G30" s="250" t="s">
        <v>12</v>
      </c>
      <c r="H30" s="226"/>
      <c r="I30" s="41" t="s">
        <v>15</v>
      </c>
      <c r="J30" s="227">
        <v>8</v>
      </c>
      <c r="K30" s="241" t="s">
        <v>13</v>
      </c>
      <c r="L30" s="226">
        <v>8</v>
      </c>
      <c r="M30" s="43" t="s">
        <v>14</v>
      </c>
      <c r="N30" s="39">
        <v>8</v>
      </c>
      <c r="R30" s="11"/>
      <c r="S30" s="10"/>
      <c r="T30" s="10"/>
    </row>
    <row r="31" spans="1:20" ht="26.4" x14ac:dyDescent="0.5">
      <c r="A31" s="38">
        <v>21</v>
      </c>
      <c r="B31" s="38" t="s">
        <v>11</v>
      </c>
      <c r="C31" s="234" t="s">
        <v>16</v>
      </c>
      <c r="D31" s="238">
        <v>8</v>
      </c>
      <c r="E31" s="259" t="s">
        <v>13</v>
      </c>
      <c r="F31" s="31">
        <v>8</v>
      </c>
      <c r="G31" s="251" t="s">
        <v>14</v>
      </c>
      <c r="H31" s="238">
        <v>8</v>
      </c>
      <c r="I31" s="33" t="s">
        <v>15</v>
      </c>
      <c r="J31" s="238">
        <v>8</v>
      </c>
      <c r="K31" s="246" t="s">
        <v>12</v>
      </c>
      <c r="L31" s="238"/>
      <c r="M31" s="245" t="s">
        <v>58</v>
      </c>
      <c r="N31" s="17">
        <v>9</v>
      </c>
      <c r="R31" s="11"/>
      <c r="S31" s="10"/>
      <c r="T31" s="10"/>
    </row>
    <row r="32" spans="1:20" ht="26.4" x14ac:dyDescent="0.5">
      <c r="A32" s="223">
        <v>22</v>
      </c>
      <c r="B32" s="83" t="s">
        <v>19</v>
      </c>
      <c r="C32" s="235" t="s">
        <v>12</v>
      </c>
      <c r="D32" s="239"/>
      <c r="E32" s="257" t="s">
        <v>13</v>
      </c>
      <c r="F32" s="25">
        <v>8</v>
      </c>
      <c r="G32" s="252" t="s">
        <v>14</v>
      </c>
      <c r="H32" s="25">
        <v>8</v>
      </c>
      <c r="I32" s="254" t="s">
        <v>15</v>
      </c>
      <c r="J32" s="225">
        <v>8</v>
      </c>
      <c r="K32" s="247" t="s">
        <v>12</v>
      </c>
      <c r="L32" s="25"/>
      <c r="M32" s="244" t="s">
        <v>12</v>
      </c>
      <c r="N32" s="25"/>
      <c r="Q32" s="54" t="s">
        <v>12</v>
      </c>
      <c r="R32" s="11"/>
      <c r="S32" s="10"/>
      <c r="T32" s="10"/>
    </row>
    <row r="33" spans="1:20" ht="27.6" thickTop="1" thickBot="1" x14ac:dyDescent="0.55000000000000004">
      <c r="A33" s="224">
        <v>23</v>
      </c>
      <c r="B33" s="82" t="s">
        <v>22</v>
      </c>
      <c r="C33" s="229" t="s">
        <v>12</v>
      </c>
      <c r="D33" s="17"/>
      <c r="E33" s="236" t="s">
        <v>12</v>
      </c>
      <c r="F33" s="17"/>
      <c r="G33" s="253" t="s">
        <v>14</v>
      </c>
      <c r="H33" s="228">
        <v>8</v>
      </c>
      <c r="I33" s="255" t="s">
        <v>12</v>
      </c>
      <c r="J33" s="228"/>
      <c r="K33" s="21" t="s">
        <v>15</v>
      </c>
      <c r="L33" s="256">
        <v>8</v>
      </c>
      <c r="M33" s="245" t="s">
        <v>13</v>
      </c>
      <c r="N33" s="17">
        <v>8</v>
      </c>
      <c r="R33" s="11"/>
      <c r="S33" s="10"/>
      <c r="T33" s="10"/>
    </row>
    <row r="34" spans="1:20" ht="27.6" thickTop="1" thickBot="1" x14ac:dyDescent="0.55000000000000004">
      <c r="A34" s="51">
        <v>24</v>
      </c>
      <c r="B34" s="51" t="s">
        <v>25</v>
      </c>
      <c r="C34" s="89" t="s">
        <v>16</v>
      </c>
      <c r="D34" s="88">
        <v>8</v>
      </c>
      <c r="E34" s="260" t="s">
        <v>16</v>
      </c>
      <c r="F34" s="227">
        <v>8</v>
      </c>
      <c r="G34" s="249" t="s">
        <v>12</v>
      </c>
      <c r="H34" s="227"/>
      <c r="I34" s="241" t="s">
        <v>13</v>
      </c>
      <c r="J34" s="46">
        <v>8</v>
      </c>
      <c r="K34" s="41" t="s">
        <v>15</v>
      </c>
      <c r="L34" s="227">
        <v>8</v>
      </c>
      <c r="M34" s="49" t="s">
        <v>14</v>
      </c>
      <c r="N34" s="225">
        <v>8</v>
      </c>
      <c r="R34" s="14"/>
      <c r="S34" s="10"/>
      <c r="T34" s="10"/>
    </row>
    <row r="35" spans="1:20" ht="27.6" thickTop="1" thickBot="1" x14ac:dyDescent="0.55000000000000004">
      <c r="A35" s="44">
        <v>25</v>
      </c>
      <c r="B35" s="44" t="s">
        <v>28</v>
      </c>
      <c r="C35" s="89" t="s">
        <v>16</v>
      </c>
      <c r="D35" s="88">
        <v>8</v>
      </c>
      <c r="E35" s="260" t="s">
        <v>16</v>
      </c>
      <c r="F35" s="227">
        <v>8</v>
      </c>
      <c r="G35" s="249" t="s">
        <v>12</v>
      </c>
      <c r="H35" s="227"/>
      <c r="I35" s="242" t="s">
        <v>13</v>
      </c>
      <c r="J35" s="39">
        <v>8</v>
      </c>
      <c r="K35" s="248" t="s">
        <v>15</v>
      </c>
      <c r="L35" s="226">
        <v>8</v>
      </c>
      <c r="M35" s="43" t="s">
        <v>14</v>
      </c>
      <c r="N35" s="226">
        <v>8</v>
      </c>
      <c r="Q35" s="7" t="s">
        <v>16</v>
      </c>
      <c r="R35" s="11"/>
      <c r="S35" s="10"/>
      <c r="T35" s="10"/>
    </row>
    <row r="36" spans="1:20" ht="27.6" thickTop="1" thickBot="1" x14ac:dyDescent="0.55000000000000004">
      <c r="A36" s="44">
        <v>26</v>
      </c>
      <c r="B36" s="44" t="s">
        <v>31</v>
      </c>
      <c r="C36" s="89" t="s">
        <v>16</v>
      </c>
      <c r="D36" s="88">
        <v>8</v>
      </c>
      <c r="E36" s="260" t="s">
        <v>16</v>
      </c>
      <c r="F36" s="227">
        <v>8</v>
      </c>
      <c r="G36" s="242" t="s">
        <v>13</v>
      </c>
      <c r="H36" s="39">
        <v>8</v>
      </c>
      <c r="I36" s="249" t="s">
        <v>12</v>
      </c>
      <c r="J36" s="227"/>
      <c r="K36" s="41" t="s">
        <v>15</v>
      </c>
      <c r="L36" s="227">
        <v>8</v>
      </c>
      <c r="M36" s="49" t="s">
        <v>14</v>
      </c>
      <c r="N36" s="227">
        <v>8</v>
      </c>
      <c r="R36" s="11"/>
      <c r="S36" s="10"/>
      <c r="T36" s="10"/>
    </row>
    <row r="37" spans="1:20" ht="26.4" x14ac:dyDescent="0.5">
      <c r="A37" s="44">
        <v>27</v>
      </c>
      <c r="B37" s="44" t="s">
        <v>35</v>
      </c>
      <c r="C37" s="230" t="s">
        <v>12</v>
      </c>
      <c r="D37" s="39"/>
      <c r="E37" s="260" t="s">
        <v>16</v>
      </c>
      <c r="F37" s="227">
        <v>8</v>
      </c>
      <c r="G37" s="41" t="s">
        <v>15</v>
      </c>
      <c r="H37" s="227">
        <v>8</v>
      </c>
      <c r="I37" s="241" t="s">
        <v>13</v>
      </c>
      <c r="J37" s="39">
        <v>8</v>
      </c>
      <c r="K37" s="250" t="s">
        <v>12</v>
      </c>
      <c r="L37" s="226"/>
      <c r="M37" s="43" t="s">
        <v>14</v>
      </c>
      <c r="N37" s="226">
        <v>8</v>
      </c>
      <c r="R37" s="11"/>
      <c r="S37" s="10"/>
      <c r="T37" s="10"/>
    </row>
    <row r="38" spans="1:20" ht="26.4" x14ac:dyDescent="0.5">
      <c r="A38" s="38">
        <v>28</v>
      </c>
      <c r="B38" s="38" t="s">
        <v>11</v>
      </c>
      <c r="C38" s="231" t="s">
        <v>13</v>
      </c>
      <c r="D38" s="31">
        <v>8</v>
      </c>
      <c r="E38" s="261" t="s">
        <v>16</v>
      </c>
      <c r="F38" s="238">
        <v>8</v>
      </c>
      <c r="G38" s="251" t="s">
        <v>14</v>
      </c>
      <c r="H38" s="238">
        <v>8</v>
      </c>
      <c r="I38" s="89" t="s">
        <v>59</v>
      </c>
      <c r="J38" s="31">
        <v>8</v>
      </c>
      <c r="K38" s="33" t="s">
        <v>15</v>
      </c>
      <c r="L38" s="238">
        <v>8</v>
      </c>
      <c r="M38" s="89" t="s">
        <v>59</v>
      </c>
      <c r="N38" s="228">
        <v>8</v>
      </c>
      <c r="R38" s="11"/>
      <c r="S38" s="10"/>
      <c r="T38" s="10"/>
    </row>
    <row r="39" spans="1:20" ht="26.4" x14ac:dyDescent="0.5">
      <c r="A39" s="223">
        <v>29</v>
      </c>
      <c r="B39" s="83" t="s">
        <v>19</v>
      </c>
      <c r="C39" s="232" t="s">
        <v>13</v>
      </c>
      <c r="D39" s="25">
        <v>8</v>
      </c>
      <c r="E39" s="244" t="s">
        <v>12</v>
      </c>
      <c r="F39" s="239"/>
      <c r="G39" s="252" t="s">
        <v>14</v>
      </c>
      <c r="H39" s="25">
        <v>8</v>
      </c>
      <c r="I39" s="244" t="s">
        <v>12</v>
      </c>
      <c r="J39" s="25"/>
      <c r="K39" s="254" t="s">
        <v>15</v>
      </c>
      <c r="L39" s="225">
        <v>8</v>
      </c>
      <c r="M39" s="247" t="s">
        <v>12</v>
      </c>
      <c r="N39" s="25"/>
      <c r="R39" s="11"/>
      <c r="S39" s="10"/>
      <c r="T39" s="10"/>
    </row>
    <row r="40" spans="1:20" ht="27.6" thickTop="1" thickBot="1" x14ac:dyDescent="0.55000000000000004">
      <c r="A40" s="224">
        <v>30</v>
      </c>
      <c r="B40" s="82" t="s">
        <v>22</v>
      </c>
      <c r="C40" s="229" t="s">
        <v>12</v>
      </c>
      <c r="D40" s="17"/>
      <c r="E40" s="236" t="s">
        <v>12</v>
      </c>
      <c r="F40" s="17"/>
      <c r="G40" s="253" t="s">
        <v>14</v>
      </c>
      <c r="H40" s="228">
        <v>8</v>
      </c>
      <c r="I40" s="245" t="s">
        <v>13</v>
      </c>
      <c r="J40" s="17">
        <v>8</v>
      </c>
      <c r="K40" s="255" t="s">
        <v>12</v>
      </c>
      <c r="L40" s="228"/>
      <c r="M40" s="21" t="s">
        <v>15</v>
      </c>
      <c r="N40" s="256">
        <v>8</v>
      </c>
      <c r="R40" s="14"/>
      <c r="S40" s="10"/>
      <c r="T40" s="10"/>
    </row>
    <row r="41" spans="1:20" ht="27.6" thickTop="1" thickBot="1" x14ac:dyDescent="0.55000000000000004">
      <c r="A41" s="51">
        <v>31</v>
      </c>
      <c r="B41" s="51" t="s">
        <v>25</v>
      </c>
      <c r="C41" s="233" t="s">
        <v>16</v>
      </c>
      <c r="D41" s="46">
        <v>8</v>
      </c>
      <c r="E41" s="241" t="s">
        <v>13</v>
      </c>
      <c r="F41" s="46">
        <v>8</v>
      </c>
      <c r="G41" s="249" t="s">
        <v>12</v>
      </c>
      <c r="H41" s="227"/>
      <c r="I41" s="49" t="s">
        <v>14</v>
      </c>
      <c r="J41" s="227">
        <v>8</v>
      </c>
      <c r="K41" s="249" t="s">
        <v>12</v>
      </c>
      <c r="L41" s="227"/>
      <c r="M41" s="41" t="s">
        <v>15</v>
      </c>
      <c r="N41" s="46">
        <v>8</v>
      </c>
      <c r="R41" s="11"/>
      <c r="S41" s="10"/>
    </row>
    <row r="42" spans="1:20" ht="28.8" thickTop="1" thickBot="1" x14ac:dyDescent="0.55000000000000004">
      <c r="D42" s="263">
        <f>SUM(D11:D41)</f>
        <v>176</v>
      </c>
      <c r="F42" s="263">
        <f>SUM(F11:F41)</f>
        <v>144</v>
      </c>
      <c r="H42" s="263">
        <f>SUM(H11:H41)</f>
        <v>168</v>
      </c>
      <c r="J42" s="263">
        <f>SUM(J11:J41)</f>
        <v>120</v>
      </c>
      <c r="L42" s="263">
        <f>SUM(L11:L41)</f>
        <v>180</v>
      </c>
      <c r="N42" s="263">
        <f>SUM(N11:N41)</f>
        <v>201</v>
      </c>
      <c r="R42" s="11"/>
      <c r="S42" s="10"/>
    </row>
    <row r="43" spans="1:20" ht="25.8" x14ac:dyDescent="0.5">
      <c r="C43" s="268" t="s">
        <v>32</v>
      </c>
      <c r="D43" s="269">
        <f>COUNTIF(C11:C41,"FERIE")*8</f>
        <v>0</v>
      </c>
      <c r="E43" s="268" t="s">
        <v>32</v>
      </c>
      <c r="F43" s="269">
        <f>COUNTIF(E11:E41,"FERIE")*8</f>
        <v>24</v>
      </c>
      <c r="G43" s="268" t="s">
        <v>32</v>
      </c>
      <c r="H43" s="269">
        <f>COUNTIF(G11:G41,"FERIE")*8</f>
        <v>0</v>
      </c>
      <c r="I43" s="268" t="s">
        <v>32</v>
      </c>
      <c r="J43" s="269">
        <f>COUNTIF(I11:I41,"FERIE")*8</f>
        <v>40</v>
      </c>
      <c r="K43" s="268" t="s">
        <v>32</v>
      </c>
      <c r="L43" s="269">
        <f>COUNTIF(K11:K41,"FERIE")*8</f>
        <v>0</v>
      </c>
      <c r="M43" s="268" t="s">
        <v>32</v>
      </c>
      <c r="N43" s="269">
        <f>COUNTIF(M11:M41,"FERIE")*8</f>
        <v>0</v>
      </c>
      <c r="R43" s="11"/>
      <c r="S43" s="10"/>
    </row>
    <row r="44" spans="1:20" ht="26.4" thickBot="1" x14ac:dyDescent="0.55000000000000004">
      <c r="B44" s="10"/>
      <c r="C44" s="268" t="s">
        <v>55</v>
      </c>
      <c r="D44" s="269">
        <f>COUNTIF(C11:C41,"riposo")</f>
        <v>9</v>
      </c>
      <c r="E44" s="268" t="s">
        <v>55</v>
      </c>
      <c r="F44" s="269">
        <f>COUNTIF(E11:E41,"riposo")</f>
        <v>10</v>
      </c>
      <c r="G44" s="268" t="s">
        <v>55</v>
      </c>
      <c r="H44" s="269">
        <f>COUNTIF(G11:G41,"riposo")</f>
        <v>10</v>
      </c>
      <c r="I44" s="268" t="s">
        <v>55</v>
      </c>
      <c r="J44" s="269">
        <f>COUNTIF(I11:I41,"riposo")</f>
        <v>11</v>
      </c>
      <c r="K44" s="268" t="s">
        <v>55</v>
      </c>
      <c r="L44" s="269">
        <f>COUNTIF(K11:K41,"riposo")</f>
        <v>9</v>
      </c>
      <c r="M44" s="268" t="s">
        <v>55</v>
      </c>
      <c r="N44" s="269">
        <f>COUNTIF(M11:M41,"riposo")</f>
        <v>6</v>
      </c>
      <c r="R44" s="11"/>
      <c r="S44" s="10"/>
    </row>
    <row r="45" spans="1:20" ht="25.8" x14ac:dyDescent="0.5">
      <c r="B45" s="10"/>
      <c r="C45" s="268" t="s">
        <v>56</v>
      </c>
      <c r="D45" s="269">
        <f>+D42-D43-D44</f>
        <v>167</v>
      </c>
      <c r="E45" s="268" t="s">
        <v>56</v>
      </c>
      <c r="F45" s="269">
        <f>+F42-F43-F44</f>
        <v>110</v>
      </c>
      <c r="G45" s="268" t="s">
        <v>56</v>
      </c>
      <c r="H45" s="269">
        <f t="shared" ref="H45" si="0">+H42-H43-H44</f>
        <v>158</v>
      </c>
      <c r="I45" s="268" t="s">
        <v>56</v>
      </c>
      <c r="J45" s="269">
        <f t="shared" ref="J45" si="1">+J42-J43-J44</f>
        <v>69</v>
      </c>
      <c r="K45" s="268" t="s">
        <v>56</v>
      </c>
      <c r="L45" s="269">
        <f t="shared" ref="L45" si="2">+L42-L43-L44</f>
        <v>171</v>
      </c>
      <c r="M45" s="268" t="s">
        <v>56</v>
      </c>
      <c r="N45" s="269">
        <f t="shared" ref="N45" si="3">+N42-N43-N44</f>
        <v>195</v>
      </c>
      <c r="R45" s="11"/>
      <c r="S45" s="10"/>
    </row>
    <row r="46" spans="1:20" ht="25.8" x14ac:dyDescent="0.5">
      <c r="B46" s="10"/>
      <c r="C46" s="10"/>
      <c r="D46" s="10"/>
      <c r="E46" s="10"/>
      <c r="F46" s="10"/>
      <c r="G46" s="10"/>
      <c r="R46" s="11"/>
      <c r="S46" s="10"/>
    </row>
    <row r="47" spans="1:20" ht="27" thickTop="1" thickBot="1" x14ac:dyDescent="0.55000000000000004">
      <c r="B47" s="633" t="s">
        <v>60</v>
      </c>
      <c r="C47" s="642"/>
      <c r="D47" s="633" t="s">
        <v>61</v>
      </c>
      <c r="E47" s="634"/>
      <c r="F47" s="634"/>
      <c r="G47" s="642"/>
      <c r="H47" s="633" t="s">
        <v>62</v>
      </c>
      <c r="I47" s="634"/>
      <c r="J47" s="637" t="s">
        <v>63</v>
      </c>
      <c r="K47" s="638"/>
      <c r="L47" s="638"/>
      <c r="M47" s="638"/>
      <c r="N47" s="639"/>
      <c r="R47" s="11"/>
      <c r="S47" s="10"/>
    </row>
    <row r="48" spans="1:20" ht="26.4" thickTop="1" x14ac:dyDescent="0.5">
      <c r="B48" s="643" t="s">
        <v>64</v>
      </c>
      <c r="C48" s="645"/>
      <c r="D48" s="643" t="s">
        <v>65</v>
      </c>
      <c r="E48" s="644"/>
      <c r="F48" s="644"/>
      <c r="G48" s="645"/>
      <c r="H48" s="635" t="s">
        <v>66</v>
      </c>
      <c r="I48" s="636"/>
      <c r="J48" s="613" t="s">
        <v>67</v>
      </c>
      <c r="K48" s="614"/>
      <c r="L48" s="614"/>
      <c r="M48" s="614"/>
      <c r="N48" s="615"/>
      <c r="S48" s="267"/>
    </row>
    <row r="49" spans="2:18" ht="25.8" x14ac:dyDescent="0.5">
      <c r="B49" s="646" t="s">
        <v>68</v>
      </c>
      <c r="C49" s="648"/>
      <c r="D49" s="646" t="s">
        <v>69</v>
      </c>
      <c r="E49" s="647"/>
      <c r="F49" s="647"/>
      <c r="G49" s="648"/>
      <c r="H49" s="630" t="s">
        <v>70</v>
      </c>
      <c r="I49" s="631"/>
      <c r="J49" s="630" t="s">
        <v>67</v>
      </c>
      <c r="K49" s="632"/>
      <c r="L49" s="632"/>
      <c r="M49" s="632"/>
      <c r="N49" s="631"/>
    </row>
    <row r="50" spans="2:18" ht="25.8" x14ac:dyDescent="0.5">
      <c r="B50" s="646" t="s">
        <v>71</v>
      </c>
      <c r="C50" s="648"/>
      <c r="D50" s="646" t="s">
        <v>72</v>
      </c>
      <c r="E50" s="647"/>
      <c r="F50" s="647"/>
      <c r="G50" s="648"/>
      <c r="H50" s="630" t="s">
        <v>73</v>
      </c>
      <c r="I50" s="631"/>
      <c r="J50" s="630" t="s">
        <v>74</v>
      </c>
      <c r="K50" s="632"/>
      <c r="L50" s="632"/>
      <c r="M50" s="632"/>
      <c r="N50" s="631"/>
    </row>
    <row r="51" spans="2:18" ht="25.8" x14ac:dyDescent="0.5">
      <c r="B51" s="646" t="s">
        <v>75</v>
      </c>
      <c r="C51" s="648"/>
      <c r="D51" s="646" t="s">
        <v>65</v>
      </c>
      <c r="E51" s="647"/>
      <c r="F51" s="647"/>
      <c r="G51" s="648"/>
      <c r="H51" s="613" t="s">
        <v>76</v>
      </c>
      <c r="I51" s="615"/>
      <c r="J51" s="613" t="s">
        <v>67</v>
      </c>
      <c r="K51" s="614"/>
      <c r="L51" s="614"/>
      <c r="M51" s="614"/>
      <c r="N51" s="615"/>
      <c r="O51" s="10"/>
      <c r="P51" s="10"/>
      <c r="Q51" s="10"/>
      <c r="R51" s="10"/>
    </row>
    <row r="52" spans="2:18" ht="25.8" x14ac:dyDescent="0.5">
      <c r="B52" s="640" t="s">
        <v>77</v>
      </c>
      <c r="C52" s="641"/>
      <c r="D52" s="646" t="s">
        <v>72</v>
      </c>
      <c r="E52" s="647"/>
      <c r="F52" s="647"/>
      <c r="G52" s="648"/>
      <c r="H52" s="630" t="s">
        <v>78</v>
      </c>
      <c r="I52" s="631"/>
      <c r="J52" s="630" t="s">
        <v>74</v>
      </c>
      <c r="K52" s="632"/>
      <c r="L52" s="632"/>
      <c r="M52" s="632"/>
      <c r="N52" s="631"/>
      <c r="O52" s="10"/>
      <c r="P52" s="10"/>
      <c r="Q52" s="10"/>
      <c r="R52" s="10"/>
    </row>
    <row r="53" spans="2:18" ht="25.8" x14ac:dyDescent="0.5">
      <c r="B53" s="619" t="s">
        <v>79</v>
      </c>
      <c r="C53" s="620"/>
      <c r="D53" s="619" t="s">
        <v>80</v>
      </c>
      <c r="E53" s="624"/>
      <c r="F53" s="624"/>
      <c r="G53" s="620"/>
      <c r="H53" s="626" t="s">
        <v>81</v>
      </c>
      <c r="I53" s="627"/>
      <c r="J53" s="613" t="s">
        <v>67</v>
      </c>
      <c r="K53" s="614"/>
      <c r="L53" s="614"/>
      <c r="M53" s="614"/>
      <c r="N53" s="615"/>
      <c r="O53" s="10"/>
      <c r="P53" s="10"/>
      <c r="Q53" s="10"/>
      <c r="R53" s="10"/>
    </row>
    <row r="54" spans="2:18" ht="26.4" thickBot="1" x14ac:dyDescent="0.55000000000000004">
      <c r="B54" s="621" t="s">
        <v>79</v>
      </c>
      <c r="C54" s="622"/>
      <c r="D54" s="621" t="s">
        <v>82</v>
      </c>
      <c r="E54" s="625"/>
      <c r="F54" s="625"/>
      <c r="G54" s="622"/>
      <c r="H54" s="628" t="s">
        <v>83</v>
      </c>
      <c r="I54" s="629"/>
      <c r="J54" s="616" t="s">
        <v>67</v>
      </c>
      <c r="K54" s="617"/>
      <c r="L54" s="617"/>
      <c r="M54" s="617"/>
      <c r="N54" s="618"/>
      <c r="O54" s="10"/>
      <c r="P54" s="10"/>
      <c r="Q54" s="10"/>
      <c r="R54" s="10"/>
    </row>
    <row r="55" spans="2:18" ht="26.4" thickTop="1" x14ac:dyDescent="0.3">
      <c r="B55" s="623"/>
      <c r="C55" s="623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2:18" ht="25.8" x14ac:dyDescent="0.3">
      <c r="B56" s="623"/>
      <c r="C56" s="623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2:18" ht="25.8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2:18" ht="25.8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2:18" ht="25.8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</sheetData>
  <mergeCells count="51">
    <mergeCell ref="A5:N5"/>
    <mergeCell ref="A6:B8"/>
    <mergeCell ref="C6:N6"/>
    <mergeCell ref="C7:C8"/>
    <mergeCell ref="D7:D8"/>
    <mergeCell ref="E7:E8"/>
    <mergeCell ref="F7:F8"/>
    <mergeCell ref="G7:G8"/>
    <mergeCell ref="H7:H8"/>
    <mergeCell ref="I7:I8"/>
    <mergeCell ref="R16:S16"/>
    <mergeCell ref="J7:J8"/>
    <mergeCell ref="K7:K8"/>
    <mergeCell ref="L7:L8"/>
    <mergeCell ref="M7:M8"/>
    <mergeCell ref="N7:N8"/>
    <mergeCell ref="R15:S15"/>
    <mergeCell ref="B52:C52"/>
    <mergeCell ref="D47:G47"/>
    <mergeCell ref="D48:G48"/>
    <mergeCell ref="D49:G49"/>
    <mergeCell ref="D50:G50"/>
    <mergeCell ref="D51:G51"/>
    <mergeCell ref="D52:G52"/>
    <mergeCell ref="B47:C47"/>
    <mergeCell ref="B48:C48"/>
    <mergeCell ref="B49:C49"/>
    <mergeCell ref="B50:C50"/>
    <mergeCell ref="B51:C51"/>
    <mergeCell ref="H52:I52"/>
    <mergeCell ref="J52:N52"/>
    <mergeCell ref="H47:I47"/>
    <mergeCell ref="H48:I48"/>
    <mergeCell ref="H49:I49"/>
    <mergeCell ref="H50:I50"/>
    <mergeCell ref="H51:I51"/>
    <mergeCell ref="J47:N47"/>
    <mergeCell ref="J48:N48"/>
    <mergeCell ref="J49:N49"/>
    <mergeCell ref="J50:N50"/>
    <mergeCell ref="J51:N51"/>
    <mergeCell ref="B56:C56"/>
    <mergeCell ref="D53:G53"/>
    <mergeCell ref="D54:G54"/>
    <mergeCell ref="H53:I53"/>
    <mergeCell ref="H54:I54"/>
    <mergeCell ref="J53:N53"/>
    <mergeCell ref="J54:N54"/>
    <mergeCell ref="B53:C53"/>
    <mergeCell ref="B54:C54"/>
    <mergeCell ref="B55:C55"/>
  </mergeCells>
  <pageMargins left="0.7" right="0.7" top="0.75" bottom="0.75" header="0.3" footer="0.3"/>
  <pageSetup paperSize="8" scale="49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2:AF52"/>
  <sheetViews>
    <sheetView zoomScale="50" zoomScaleNormal="50" zoomScaleSheetLayoutView="50" workbookViewId="0">
      <pane ySplit="8" topLeftCell="A9" activePane="bottomLeft" state="frozen"/>
      <selection activeCell="L1" sqref="L1"/>
      <selection pane="bottomLeft" activeCell="L52" sqref="L52"/>
    </sheetView>
  </sheetViews>
  <sheetFormatPr defaultColWidth="14.44140625" defaultRowHeight="14.4" x14ac:dyDescent="0.3"/>
  <cols>
    <col min="1" max="2" width="21.6640625" customWidth="1"/>
    <col min="3" max="3" width="30.6640625" customWidth="1"/>
    <col min="4" max="4" width="14" customWidth="1"/>
    <col min="5" max="5" width="14.44140625" customWidth="1"/>
    <col min="6" max="6" width="30.6640625" customWidth="1"/>
    <col min="7" max="8" width="14.44140625" customWidth="1"/>
    <col min="9" max="9" width="32.6640625" customWidth="1"/>
    <col min="10" max="10" width="14.44140625" customWidth="1"/>
    <col min="11" max="11" width="15.5546875" customWidth="1"/>
    <col min="12" max="12" width="31.44140625" customWidth="1"/>
    <col min="13" max="13" width="14.44140625" customWidth="1"/>
    <col min="14" max="14" width="14.6640625" customWidth="1"/>
    <col min="15" max="15" width="29.33203125" customWidth="1"/>
    <col min="16" max="16" width="14.44140625" customWidth="1"/>
    <col min="17" max="17" width="15.5546875" customWidth="1"/>
    <col min="18" max="18" width="34.44140625" customWidth="1"/>
    <col min="19" max="19" width="14.44140625" customWidth="1"/>
    <col min="20" max="20" width="15.5546875" customWidth="1"/>
    <col min="21" max="22" width="9.109375" customWidth="1"/>
    <col min="23" max="24" width="33.88671875" customWidth="1"/>
    <col min="25" max="25" width="67.44140625" customWidth="1"/>
    <col min="26" max="32" width="9.109375" customWidth="1"/>
  </cols>
  <sheetData>
    <row r="2" spans="1:32" ht="24" x14ac:dyDescent="0.45">
      <c r="A2" s="79"/>
      <c r="B2" s="79"/>
      <c r="C2" s="78"/>
      <c r="D2" s="78"/>
      <c r="E2" s="79" t="s">
        <v>0</v>
      </c>
      <c r="F2" s="78"/>
      <c r="G2" s="78"/>
      <c r="H2" s="79"/>
      <c r="I2" s="79"/>
      <c r="J2" s="79"/>
      <c r="K2" s="78"/>
      <c r="L2" s="78"/>
      <c r="M2" s="78"/>
      <c r="N2" s="78"/>
      <c r="O2" s="79"/>
      <c r="P2" s="79"/>
      <c r="Q2" s="78"/>
      <c r="R2" s="79"/>
      <c r="S2" s="79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</row>
    <row r="3" spans="1:32" ht="24" x14ac:dyDescent="0.45">
      <c r="A3" s="79"/>
      <c r="B3" s="79"/>
      <c r="C3" s="78"/>
      <c r="D3" s="78"/>
      <c r="E3" s="79" t="s">
        <v>1</v>
      </c>
      <c r="F3" s="78"/>
      <c r="G3" s="78"/>
      <c r="H3" s="79"/>
      <c r="I3" s="79"/>
      <c r="J3" s="79"/>
      <c r="K3" s="78"/>
      <c r="L3" s="78"/>
      <c r="M3" s="78"/>
      <c r="N3" s="78"/>
      <c r="O3" s="79"/>
      <c r="P3" s="79"/>
      <c r="Q3" s="78"/>
      <c r="R3" s="79"/>
      <c r="S3" s="79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2" ht="15" thickBot="1" x14ac:dyDescent="0.35"/>
    <row r="5" spans="1:32" ht="54.6" thickTop="1" thickBot="1" x14ac:dyDescent="0.35">
      <c r="A5" s="653" t="s">
        <v>2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 s="654"/>
      <c r="N5" s="654"/>
      <c r="O5" s="654"/>
      <c r="P5" s="654"/>
      <c r="Q5" s="654"/>
      <c r="R5" s="654"/>
      <c r="S5" s="654"/>
      <c r="T5" s="655"/>
    </row>
    <row r="6" spans="1:32" ht="27" thickTop="1" thickBot="1" x14ac:dyDescent="0.35">
      <c r="A6" s="656" t="s">
        <v>84</v>
      </c>
      <c r="B6" s="657"/>
      <c r="C6" s="660"/>
      <c r="D6" s="660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2"/>
    </row>
    <row r="7" spans="1:32" ht="15" customHeight="1" thickTop="1" x14ac:dyDescent="0.3">
      <c r="A7" s="658"/>
      <c r="B7" s="658"/>
      <c r="C7" s="663" t="s">
        <v>4</v>
      </c>
      <c r="D7" s="669" t="s">
        <v>85</v>
      </c>
      <c r="E7" s="649" t="s">
        <v>5</v>
      </c>
      <c r="F7" s="664" t="s">
        <v>6</v>
      </c>
      <c r="G7" s="664" t="s">
        <v>85</v>
      </c>
      <c r="H7" s="649" t="s">
        <v>5</v>
      </c>
      <c r="I7" s="665" t="s">
        <v>7</v>
      </c>
      <c r="J7" s="665" t="s">
        <v>85</v>
      </c>
      <c r="K7" s="649" t="s">
        <v>5</v>
      </c>
      <c r="L7" s="666" t="s">
        <v>8</v>
      </c>
      <c r="M7" s="666" t="s">
        <v>85</v>
      </c>
      <c r="N7" s="649" t="s">
        <v>5</v>
      </c>
      <c r="O7" s="651" t="s">
        <v>9</v>
      </c>
      <c r="P7" s="651" t="s">
        <v>85</v>
      </c>
      <c r="Q7" s="649" t="s">
        <v>5</v>
      </c>
      <c r="R7" s="652" t="s">
        <v>10</v>
      </c>
      <c r="S7" s="652" t="s">
        <v>85</v>
      </c>
      <c r="T7" s="649" t="s">
        <v>5</v>
      </c>
    </row>
    <row r="8" spans="1:32" ht="24" thickBot="1" x14ac:dyDescent="0.5">
      <c r="A8" s="659"/>
      <c r="B8" s="659"/>
      <c r="C8" s="650"/>
      <c r="D8" s="670"/>
      <c r="E8" s="650"/>
      <c r="F8" s="650"/>
      <c r="G8" s="671"/>
      <c r="H8" s="650"/>
      <c r="I8" s="650"/>
      <c r="J8" s="672"/>
      <c r="K8" s="650"/>
      <c r="L8" s="650"/>
      <c r="M8" s="673"/>
      <c r="N8" s="650"/>
      <c r="O8" s="650"/>
      <c r="P8" s="667"/>
      <c r="Q8" s="650"/>
      <c r="R8" s="650"/>
      <c r="S8" s="668"/>
      <c r="T8" s="650"/>
      <c r="Z8" s="78"/>
      <c r="AA8" s="78"/>
      <c r="AB8" s="78"/>
    </row>
    <row r="9" spans="1:32" ht="15" customHeight="1" thickTop="1" x14ac:dyDescent="0.3"/>
    <row r="10" spans="1:32" ht="15" thickBot="1" x14ac:dyDescent="0.35"/>
    <row r="11" spans="1:32" ht="30" thickTop="1" thickBot="1" x14ac:dyDescent="0.6">
      <c r="A11" s="82">
        <v>1</v>
      </c>
      <c r="B11" s="82" t="s">
        <v>28</v>
      </c>
      <c r="C11" s="278" t="s">
        <v>47</v>
      </c>
      <c r="D11" s="545" t="s">
        <v>86</v>
      </c>
      <c r="E11" s="227"/>
      <c r="F11" s="242" t="s">
        <v>13</v>
      </c>
      <c r="G11" s="292"/>
      <c r="H11" s="39">
        <v>8</v>
      </c>
      <c r="I11" s="249" t="s">
        <v>47</v>
      </c>
      <c r="J11" s="286"/>
      <c r="K11" s="227"/>
      <c r="L11" s="43" t="s">
        <v>14</v>
      </c>
      <c r="M11" s="293"/>
      <c r="N11" s="226">
        <v>8</v>
      </c>
      <c r="O11" s="248" t="s">
        <v>15</v>
      </c>
      <c r="P11" s="294"/>
      <c r="Q11" s="227">
        <v>8</v>
      </c>
      <c r="R11" s="249" t="s">
        <v>12</v>
      </c>
      <c r="S11" s="286"/>
      <c r="T11" s="226"/>
      <c r="W11" s="77" t="s">
        <v>17</v>
      </c>
      <c r="X11" s="76" t="s">
        <v>18</v>
      </c>
      <c r="Y11" s="75"/>
    </row>
    <row r="12" spans="1:32" ht="30" thickTop="1" thickBot="1" x14ac:dyDescent="0.6">
      <c r="A12" s="44">
        <v>2</v>
      </c>
      <c r="B12" s="44" t="s">
        <v>31</v>
      </c>
      <c r="C12" s="277" t="s">
        <v>16</v>
      </c>
      <c r="D12" s="546" t="s">
        <v>86</v>
      </c>
      <c r="E12" s="227">
        <v>8</v>
      </c>
      <c r="F12" s="242" t="s">
        <v>13</v>
      </c>
      <c r="G12" s="292"/>
      <c r="H12" s="39">
        <v>8</v>
      </c>
      <c r="I12" s="237" t="s">
        <v>16</v>
      </c>
      <c r="J12" s="284"/>
      <c r="K12" s="88">
        <v>8</v>
      </c>
      <c r="L12" s="49" t="s">
        <v>14</v>
      </c>
      <c r="M12" s="293"/>
      <c r="N12" s="227">
        <v>8</v>
      </c>
      <c r="O12" s="41" t="s">
        <v>15</v>
      </c>
      <c r="P12" s="294"/>
      <c r="Q12" s="227">
        <v>8</v>
      </c>
      <c r="R12" s="249" t="s">
        <v>12</v>
      </c>
      <c r="S12" s="286"/>
      <c r="T12" s="227"/>
      <c r="W12" s="74" t="s">
        <v>20</v>
      </c>
      <c r="X12" s="73" t="s">
        <v>21</v>
      </c>
      <c r="Y12" s="72"/>
    </row>
    <row r="13" spans="1:32" ht="30" thickTop="1" thickBot="1" x14ac:dyDescent="0.6">
      <c r="A13" s="44">
        <v>3</v>
      </c>
      <c r="B13" s="44" t="s">
        <v>35</v>
      </c>
      <c r="C13" s="277" t="s">
        <v>16</v>
      </c>
      <c r="D13" s="546" t="s">
        <v>86</v>
      </c>
      <c r="E13" s="227">
        <v>8</v>
      </c>
      <c r="F13" s="241" t="s">
        <v>13</v>
      </c>
      <c r="G13" s="292"/>
      <c r="H13" s="39">
        <v>8</v>
      </c>
      <c r="I13" s="250" t="s">
        <v>12</v>
      </c>
      <c r="J13" s="286"/>
      <c r="K13" s="39"/>
      <c r="L13" s="43" t="s">
        <v>14</v>
      </c>
      <c r="M13" s="293"/>
      <c r="N13" s="226">
        <v>8</v>
      </c>
      <c r="O13" s="41" t="s">
        <v>15</v>
      </c>
      <c r="P13" s="294"/>
      <c r="Q13" s="227">
        <v>8</v>
      </c>
      <c r="R13" s="250" t="s">
        <v>12</v>
      </c>
      <c r="S13" s="286"/>
      <c r="T13" s="226"/>
      <c r="W13" s="71" t="s">
        <v>23</v>
      </c>
      <c r="X13" s="70" t="s">
        <v>24</v>
      </c>
      <c r="Y13" s="69"/>
    </row>
    <row r="14" spans="1:32" ht="30" thickTop="1" thickBot="1" x14ac:dyDescent="0.6">
      <c r="A14" s="38">
        <v>4</v>
      </c>
      <c r="B14" s="38" t="s">
        <v>11</v>
      </c>
      <c r="C14" s="32" t="s">
        <v>16</v>
      </c>
      <c r="D14" s="547" t="s">
        <v>86</v>
      </c>
      <c r="E14" s="238">
        <v>8</v>
      </c>
      <c r="F14" s="243" t="s">
        <v>12</v>
      </c>
      <c r="G14" s="298"/>
      <c r="H14" s="31"/>
      <c r="I14" s="259" t="s">
        <v>13</v>
      </c>
      <c r="J14" s="287"/>
      <c r="K14" s="31">
        <v>8</v>
      </c>
      <c r="L14" s="246" t="s">
        <v>12</v>
      </c>
      <c r="M14" s="298"/>
      <c r="N14" s="238"/>
      <c r="O14" s="33" t="s">
        <v>15</v>
      </c>
      <c r="P14" s="297"/>
      <c r="Q14" s="238">
        <v>8</v>
      </c>
      <c r="R14" s="251" t="s">
        <v>14</v>
      </c>
      <c r="S14" s="299"/>
      <c r="T14" s="238">
        <v>8</v>
      </c>
      <c r="W14" s="68" t="s">
        <v>26</v>
      </c>
      <c r="X14" s="67" t="s">
        <v>27</v>
      </c>
      <c r="Y14" s="66"/>
    </row>
    <row r="15" spans="1:32" ht="30" thickTop="1" thickBot="1" x14ac:dyDescent="0.6">
      <c r="A15" s="83">
        <v>5</v>
      </c>
      <c r="B15" s="83" t="s">
        <v>19</v>
      </c>
      <c r="C15" s="63" t="s">
        <v>12</v>
      </c>
      <c r="D15" s="548"/>
      <c r="E15" s="225"/>
      <c r="F15" s="244" t="s">
        <v>12</v>
      </c>
      <c r="G15" s="304"/>
      <c r="H15" s="25"/>
      <c r="I15" s="257" t="s">
        <v>13</v>
      </c>
      <c r="J15" s="548" t="s">
        <v>86</v>
      </c>
      <c r="K15" s="25">
        <v>8</v>
      </c>
      <c r="L15" s="247" t="s">
        <v>12</v>
      </c>
      <c r="M15" s="304"/>
      <c r="N15" s="25"/>
      <c r="O15" s="254" t="s">
        <v>15</v>
      </c>
      <c r="P15" s="303"/>
      <c r="Q15" s="225">
        <v>8</v>
      </c>
      <c r="R15" s="252" t="s">
        <v>14</v>
      </c>
      <c r="S15" s="305"/>
      <c r="T15" s="25">
        <v>8</v>
      </c>
      <c r="W15" s="65" t="s">
        <v>29</v>
      </c>
      <c r="X15" s="612" t="s">
        <v>30</v>
      </c>
      <c r="Y15" s="611"/>
    </row>
    <row r="16" spans="1:32" ht="30" thickTop="1" thickBot="1" x14ac:dyDescent="0.6">
      <c r="A16" s="82">
        <v>6</v>
      </c>
      <c r="B16" s="82" t="s">
        <v>22</v>
      </c>
      <c r="C16" s="18" t="s">
        <v>12</v>
      </c>
      <c r="D16" s="549"/>
      <c r="E16" s="290"/>
      <c r="F16" s="245" t="s">
        <v>13</v>
      </c>
      <c r="G16" s="307"/>
      <c r="H16" s="17">
        <v>8</v>
      </c>
      <c r="I16" s="236" t="s">
        <v>12</v>
      </c>
      <c r="J16" s="549" t="s">
        <v>86</v>
      </c>
      <c r="K16" s="17"/>
      <c r="L16" s="21" t="s">
        <v>15</v>
      </c>
      <c r="M16" s="309"/>
      <c r="N16" s="256">
        <v>8</v>
      </c>
      <c r="O16" s="255" t="s">
        <v>12</v>
      </c>
      <c r="P16" s="306"/>
      <c r="Q16" s="228"/>
      <c r="R16" s="253" t="s">
        <v>14</v>
      </c>
      <c r="S16" s="308"/>
      <c r="T16" s="228">
        <v>8</v>
      </c>
      <c r="W16" s="64" t="s">
        <v>33</v>
      </c>
      <c r="X16" s="610" t="s">
        <v>34</v>
      </c>
      <c r="Y16" s="611"/>
    </row>
    <row r="17" spans="1:26" ht="27" customHeight="1" thickTop="1" thickBot="1" x14ac:dyDescent="0.45">
      <c r="A17" s="51">
        <v>7</v>
      </c>
      <c r="B17" s="51" t="s">
        <v>25</v>
      </c>
      <c r="C17" s="281" t="s">
        <v>16</v>
      </c>
      <c r="D17" s="289"/>
      <c r="E17" s="88">
        <v>8</v>
      </c>
      <c r="F17" s="49" t="s">
        <v>14</v>
      </c>
      <c r="G17" s="301"/>
      <c r="H17" s="227">
        <v>8</v>
      </c>
      <c r="I17" s="260" t="s">
        <v>16</v>
      </c>
      <c r="J17" s="550" t="s">
        <v>86</v>
      </c>
      <c r="K17" s="227">
        <v>8</v>
      </c>
      <c r="L17" s="41" t="s">
        <v>15</v>
      </c>
      <c r="M17" s="302"/>
      <c r="N17" s="227">
        <v>8</v>
      </c>
      <c r="O17" s="241" t="s">
        <v>13</v>
      </c>
      <c r="P17" s="300"/>
      <c r="Q17" s="46">
        <v>8</v>
      </c>
      <c r="R17" s="249" t="s">
        <v>12</v>
      </c>
      <c r="S17" s="295"/>
      <c r="T17" s="227"/>
    </row>
    <row r="18" spans="1:26" ht="27" thickTop="1" thickBot="1" x14ac:dyDescent="0.45">
      <c r="A18" s="44">
        <v>8</v>
      </c>
      <c r="B18" s="44" t="s">
        <v>28</v>
      </c>
      <c r="C18" s="279" t="s">
        <v>16</v>
      </c>
      <c r="D18" s="284"/>
      <c r="E18" s="88">
        <v>8</v>
      </c>
      <c r="F18" s="43" t="s">
        <v>14</v>
      </c>
      <c r="G18" s="293"/>
      <c r="H18" s="226">
        <v>8</v>
      </c>
      <c r="I18" s="260" t="s">
        <v>16</v>
      </c>
      <c r="J18" s="551" t="s">
        <v>86</v>
      </c>
      <c r="K18" s="227">
        <v>8</v>
      </c>
      <c r="L18" s="248" t="s">
        <v>15</v>
      </c>
      <c r="M18" s="294"/>
      <c r="N18" s="226">
        <v>8</v>
      </c>
      <c r="O18" s="242" t="s">
        <v>13</v>
      </c>
      <c r="P18" s="292"/>
      <c r="Q18" s="39">
        <v>8</v>
      </c>
      <c r="R18" s="249" t="s">
        <v>12</v>
      </c>
      <c r="S18" s="286"/>
      <c r="T18" s="227"/>
    </row>
    <row r="19" spans="1:26" ht="27.6" customHeight="1" thickTop="1" thickBot="1" x14ac:dyDescent="0.55000000000000004">
      <c r="A19" s="44">
        <v>9</v>
      </c>
      <c r="B19" s="44" t="s">
        <v>31</v>
      </c>
      <c r="C19" s="278" t="s">
        <v>32</v>
      </c>
      <c r="D19" s="284"/>
      <c r="E19" s="324"/>
      <c r="F19" s="49" t="s">
        <v>14</v>
      </c>
      <c r="G19" s="293"/>
      <c r="H19" s="227">
        <v>8</v>
      </c>
      <c r="I19" s="260" t="s">
        <v>16</v>
      </c>
      <c r="J19" s="551" t="s">
        <v>86</v>
      </c>
      <c r="K19" s="227">
        <v>8</v>
      </c>
      <c r="L19" s="249" t="s">
        <v>12</v>
      </c>
      <c r="M19" s="286"/>
      <c r="N19" s="227"/>
      <c r="O19" s="242" t="s">
        <v>13</v>
      </c>
      <c r="P19" s="292"/>
      <c r="Q19" s="39">
        <v>8</v>
      </c>
      <c r="R19" s="41" t="s">
        <v>15</v>
      </c>
      <c r="S19" s="294"/>
      <c r="T19" s="227">
        <v>8</v>
      </c>
      <c r="V19" s="11"/>
      <c r="W19" s="11"/>
      <c r="X19" s="11"/>
      <c r="Y19" s="11"/>
    </row>
    <row r="20" spans="1:26" ht="27.6" thickTop="1" thickBot="1" x14ac:dyDescent="0.55000000000000004">
      <c r="A20" s="44">
        <v>10</v>
      </c>
      <c r="B20" s="44" t="s">
        <v>35</v>
      </c>
      <c r="C20" s="278" t="s">
        <v>12</v>
      </c>
      <c r="D20" s="286"/>
      <c r="E20" s="39"/>
      <c r="F20" s="43" t="s">
        <v>14</v>
      </c>
      <c r="G20" s="293"/>
      <c r="H20" s="226">
        <v>8</v>
      </c>
      <c r="I20" s="260" t="s">
        <v>16</v>
      </c>
      <c r="J20" s="551" t="s">
        <v>86</v>
      </c>
      <c r="K20" s="227">
        <v>8</v>
      </c>
      <c r="L20" s="250" t="s">
        <v>12</v>
      </c>
      <c r="M20" s="286"/>
      <c r="N20" s="226"/>
      <c r="O20" s="241" t="s">
        <v>13</v>
      </c>
      <c r="P20" s="292"/>
      <c r="Q20" s="39">
        <v>8</v>
      </c>
      <c r="R20" s="41" t="s">
        <v>15</v>
      </c>
      <c r="S20" s="294"/>
      <c r="T20" s="227">
        <v>8</v>
      </c>
      <c r="V20" s="11"/>
      <c r="W20" s="11"/>
      <c r="X20" s="11"/>
      <c r="Y20" s="10"/>
    </row>
    <row r="21" spans="1:26" ht="27" customHeight="1" thickTop="1" thickBot="1" x14ac:dyDescent="0.45">
      <c r="A21" s="38">
        <v>11</v>
      </c>
      <c r="B21" s="38" t="s">
        <v>11</v>
      </c>
      <c r="C21" s="34" t="s">
        <v>13</v>
      </c>
      <c r="D21" s="285"/>
      <c r="E21" s="31">
        <v>8</v>
      </c>
      <c r="F21" s="246" t="s">
        <v>12</v>
      </c>
      <c r="G21" s="298"/>
      <c r="H21" s="238"/>
      <c r="I21" s="261" t="s">
        <v>16</v>
      </c>
      <c r="J21" s="552" t="s">
        <v>86</v>
      </c>
      <c r="K21" s="238">
        <v>8</v>
      </c>
      <c r="L21" s="251" t="s">
        <v>14</v>
      </c>
      <c r="M21" s="299"/>
      <c r="N21" s="238">
        <v>8</v>
      </c>
      <c r="O21" s="243" t="s">
        <v>12</v>
      </c>
      <c r="P21" s="298"/>
      <c r="Q21" s="31"/>
      <c r="R21" s="33" t="s">
        <v>15</v>
      </c>
      <c r="S21" s="297"/>
      <c r="T21" s="238">
        <v>8</v>
      </c>
    </row>
    <row r="22" spans="1:26" ht="27.6" thickTop="1" thickBot="1" x14ac:dyDescent="0.55000000000000004">
      <c r="A22" s="83">
        <v>12</v>
      </c>
      <c r="B22" s="83" t="s">
        <v>19</v>
      </c>
      <c r="C22" s="323" t="s">
        <v>12</v>
      </c>
      <c r="D22" s="553" t="s">
        <v>86</v>
      </c>
      <c r="E22" s="25"/>
      <c r="F22" s="247" t="s">
        <v>12</v>
      </c>
      <c r="G22" s="304"/>
      <c r="H22" s="25"/>
      <c r="I22" s="244" t="s">
        <v>12</v>
      </c>
      <c r="J22" s="319"/>
      <c r="K22" s="239"/>
      <c r="L22" s="252" t="s">
        <v>14</v>
      </c>
      <c r="M22" s="305"/>
      <c r="N22" s="25">
        <v>8</v>
      </c>
      <c r="O22" s="27" t="s">
        <v>13</v>
      </c>
      <c r="P22" s="304"/>
      <c r="Q22" s="25">
        <v>8</v>
      </c>
      <c r="R22" s="254" t="s">
        <v>15</v>
      </c>
      <c r="S22" s="303"/>
      <c r="T22" s="225">
        <v>8</v>
      </c>
      <c r="X22" s="11"/>
      <c r="Y22" s="10"/>
    </row>
    <row r="23" spans="1:26" ht="27.6" customHeight="1" thickTop="1" thickBot="1" x14ac:dyDescent="0.55000000000000004">
      <c r="A23" s="82">
        <v>13</v>
      </c>
      <c r="B23" s="82" t="s">
        <v>22</v>
      </c>
      <c r="C23" s="322" t="s">
        <v>13</v>
      </c>
      <c r="D23" s="554" t="s">
        <v>86</v>
      </c>
      <c r="E23" s="17">
        <v>8</v>
      </c>
      <c r="F23" s="21" t="s">
        <v>15</v>
      </c>
      <c r="G23" s="309"/>
      <c r="H23" s="256">
        <v>8</v>
      </c>
      <c r="I23" s="236" t="s">
        <v>12</v>
      </c>
      <c r="J23" s="306"/>
      <c r="K23" s="17"/>
      <c r="L23" s="253" t="s">
        <v>14</v>
      </c>
      <c r="M23" s="308"/>
      <c r="N23" s="228">
        <v>8</v>
      </c>
      <c r="O23" s="321" t="s">
        <v>12</v>
      </c>
      <c r="P23" s="307"/>
      <c r="Q23" s="17"/>
      <c r="R23" s="255" t="s">
        <v>12</v>
      </c>
      <c r="S23" s="306"/>
      <c r="T23" s="228"/>
      <c r="W23" s="60" t="s">
        <v>36</v>
      </c>
      <c r="X23" s="11"/>
      <c r="Y23" s="10"/>
    </row>
    <row r="24" spans="1:26" ht="27.6" thickTop="1" thickBot="1" x14ac:dyDescent="0.55000000000000004">
      <c r="A24" s="51">
        <v>14</v>
      </c>
      <c r="B24" s="51" t="s">
        <v>25</v>
      </c>
      <c r="C24" s="282" t="s">
        <v>16</v>
      </c>
      <c r="D24" s="546" t="s">
        <v>86</v>
      </c>
      <c r="E24" s="227">
        <v>8</v>
      </c>
      <c r="F24" s="41" t="s">
        <v>15</v>
      </c>
      <c r="G24" s="302"/>
      <c r="H24" s="227">
        <v>8</v>
      </c>
      <c r="I24" s="275" t="s">
        <v>32</v>
      </c>
      <c r="J24" s="295"/>
      <c r="K24" s="46">
        <v>8</v>
      </c>
      <c r="L24" s="249" t="s">
        <v>12</v>
      </c>
      <c r="M24" s="295"/>
      <c r="N24" s="227"/>
      <c r="O24" s="241" t="s">
        <v>13</v>
      </c>
      <c r="P24" s="301"/>
      <c r="Q24" s="227">
        <v>8</v>
      </c>
      <c r="R24" s="49" t="s">
        <v>14</v>
      </c>
      <c r="S24" s="300"/>
      <c r="T24" s="46">
        <v>8</v>
      </c>
      <c r="X24" s="11"/>
      <c r="Y24" s="10"/>
    </row>
    <row r="25" spans="1:26" ht="27.6" customHeight="1" thickTop="1" thickBot="1" x14ac:dyDescent="0.55000000000000004">
      <c r="A25" s="44">
        <v>15</v>
      </c>
      <c r="B25" s="44" t="s">
        <v>28</v>
      </c>
      <c r="C25" s="277" t="s">
        <v>16</v>
      </c>
      <c r="D25" s="546" t="s">
        <v>86</v>
      </c>
      <c r="E25" s="227">
        <v>8</v>
      </c>
      <c r="F25" s="248" t="s">
        <v>15</v>
      </c>
      <c r="G25" s="294"/>
      <c r="H25" s="226">
        <v>8</v>
      </c>
      <c r="I25" s="275" t="s">
        <v>32</v>
      </c>
      <c r="J25" s="286"/>
      <c r="K25" s="39">
        <v>8</v>
      </c>
      <c r="L25" s="249" t="s">
        <v>12</v>
      </c>
      <c r="M25" s="286"/>
      <c r="N25" s="227"/>
      <c r="O25" s="242" t="s">
        <v>13</v>
      </c>
      <c r="P25" s="293"/>
      <c r="Q25" s="226">
        <v>8</v>
      </c>
      <c r="R25" s="43" t="s">
        <v>14</v>
      </c>
      <c r="S25" s="292"/>
      <c r="T25" s="39">
        <v>8</v>
      </c>
      <c r="W25" s="59" t="s">
        <v>38</v>
      </c>
      <c r="X25" s="11"/>
      <c r="Y25" s="10"/>
    </row>
    <row r="26" spans="1:26" ht="27.6" thickTop="1" thickBot="1" x14ac:dyDescent="0.55000000000000004">
      <c r="A26" s="44">
        <v>16</v>
      </c>
      <c r="B26" s="44" t="s">
        <v>31</v>
      </c>
      <c r="C26" s="277" t="s">
        <v>16</v>
      </c>
      <c r="D26" s="546" t="s">
        <v>86</v>
      </c>
      <c r="E26" s="227">
        <v>8</v>
      </c>
      <c r="F26" s="249" t="s">
        <v>12</v>
      </c>
      <c r="G26" s="286"/>
      <c r="H26" s="227"/>
      <c r="I26" s="275" t="s">
        <v>32</v>
      </c>
      <c r="J26" s="286"/>
      <c r="K26" s="39">
        <v>8</v>
      </c>
      <c r="L26" s="41" t="s">
        <v>15</v>
      </c>
      <c r="M26" s="294"/>
      <c r="N26" s="227">
        <v>10</v>
      </c>
      <c r="O26" s="242" t="s">
        <v>13</v>
      </c>
      <c r="P26" s="293"/>
      <c r="Q26" s="227">
        <v>8</v>
      </c>
      <c r="R26" s="49" t="s">
        <v>14</v>
      </c>
      <c r="S26" s="292"/>
      <c r="T26" s="39">
        <v>8</v>
      </c>
      <c r="X26" s="14"/>
      <c r="Y26" s="10"/>
    </row>
    <row r="27" spans="1:26" ht="27.6" customHeight="1" thickTop="1" thickBot="1" x14ac:dyDescent="0.55000000000000004">
      <c r="A27" s="44">
        <v>17</v>
      </c>
      <c r="B27" s="44" t="s">
        <v>35</v>
      </c>
      <c r="C27" s="277" t="s">
        <v>16</v>
      </c>
      <c r="D27" s="546" t="s">
        <v>86</v>
      </c>
      <c r="E27" s="227">
        <v>8</v>
      </c>
      <c r="F27" s="250" t="s">
        <v>12</v>
      </c>
      <c r="G27" s="286"/>
      <c r="H27" s="226"/>
      <c r="I27" s="250" t="s">
        <v>12</v>
      </c>
      <c r="J27" s="286"/>
      <c r="K27" s="39"/>
      <c r="L27" s="41" t="s">
        <v>15</v>
      </c>
      <c r="M27" s="294"/>
      <c r="N27" s="227">
        <v>8</v>
      </c>
      <c r="O27" s="241" t="s">
        <v>13</v>
      </c>
      <c r="P27" s="293"/>
      <c r="Q27" s="226">
        <v>8</v>
      </c>
      <c r="R27" s="43" t="s">
        <v>14</v>
      </c>
      <c r="S27" s="292"/>
      <c r="T27" s="39">
        <v>8</v>
      </c>
      <c r="W27" s="56" t="s">
        <v>39</v>
      </c>
      <c r="X27" s="11"/>
      <c r="Y27" s="10"/>
    </row>
    <row r="28" spans="1:26" ht="27.6" thickTop="1" thickBot="1" x14ac:dyDescent="0.55000000000000004">
      <c r="A28" s="38">
        <v>18</v>
      </c>
      <c r="B28" s="38" t="s">
        <v>11</v>
      </c>
      <c r="C28" s="32" t="s">
        <v>16</v>
      </c>
      <c r="D28" s="547" t="s">
        <v>86</v>
      </c>
      <c r="E28" s="238">
        <v>8</v>
      </c>
      <c r="F28" s="251" t="s">
        <v>14</v>
      </c>
      <c r="G28" s="299"/>
      <c r="H28" s="238">
        <v>8</v>
      </c>
      <c r="I28" s="259" t="s">
        <v>13</v>
      </c>
      <c r="J28" s="287"/>
      <c r="K28" s="31">
        <v>8</v>
      </c>
      <c r="L28" s="33" t="s">
        <v>15</v>
      </c>
      <c r="M28" s="297"/>
      <c r="N28" s="238">
        <v>8</v>
      </c>
      <c r="O28" s="246" t="s">
        <v>12</v>
      </c>
      <c r="P28" s="298"/>
      <c r="Q28" s="238"/>
      <c r="R28" s="243" t="s">
        <v>12</v>
      </c>
      <c r="S28" s="298"/>
      <c r="T28" s="31"/>
      <c r="X28" s="11"/>
      <c r="Y28" s="10"/>
    </row>
    <row r="29" spans="1:26" ht="27.6" customHeight="1" thickTop="1" thickBot="1" x14ac:dyDescent="0.55000000000000004">
      <c r="A29" s="83">
        <v>19</v>
      </c>
      <c r="B29" s="83" t="s">
        <v>19</v>
      </c>
      <c r="C29" s="63" t="s">
        <v>12</v>
      </c>
      <c r="D29" s="555" t="s">
        <v>86</v>
      </c>
      <c r="E29" s="239"/>
      <c r="F29" s="252" t="s">
        <v>14</v>
      </c>
      <c r="G29" s="305"/>
      <c r="H29" s="25">
        <v>8</v>
      </c>
      <c r="I29" s="257" t="s">
        <v>13</v>
      </c>
      <c r="J29" s="296"/>
      <c r="K29" s="25">
        <v>8</v>
      </c>
      <c r="L29" s="254" t="s">
        <v>15</v>
      </c>
      <c r="M29" s="303"/>
      <c r="N29" s="225">
        <v>8</v>
      </c>
      <c r="O29" s="247" t="s">
        <v>12</v>
      </c>
      <c r="P29" s="304"/>
      <c r="Q29" s="25"/>
      <c r="R29" s="244" t="s">
        <v>12</v>
      </c>
      <c r="S29" s="304"/>
      <c r="T29" s="25"/>
      <c r="W29" s="55" t="s">
        <v>37</v>
      </c>
      <c r="X29" s="11"/>
      <c r="Y29" s="10"/>
    </row>
    <row r="30" spans="1:26" ht="27.6" thickTop="1" thickBot="1" x14ac:dyDescent="0.55000000000000004">
      <c r="A30" s="310">
        <v>20</v>
      </c>
      <c r="B30" s="82" t="s">
        <v>22</v>
      </c>
      <c r="C30" s="18" t="s">
        <v>12</v>
      </c>
      <c r="D30" s="556" t="s">
        <v>86</v>
      </c>
      <c r="E30" s="17"/>
      <c r="F30" s="253" t="s">
        <v>14</v>
      </c>
      <c r="G30" s="308"/>
      <c r="H30" s="228">
        <v>8</v>
      </c>
      <c r="I30" s="236" t="s">
        <v>12</v>
      </c>
      <c r="J30" s="306"/>
      <c r="K30" s="17"/>
      <c r="L30" s="255" t="s">
        <v>12</v>
      </c>
      <c r="M30" s="306"/>
      <c r="N30" s="228"/>
      <c r="O30" s="21" t="s">
        <v>15</v>
      </c>
      <c r="P30" s="309"/>
      <c r="Q30" s="256">
        <v>8</v>
      </c>
      <c r="R30" s="245" t="s">
        <v>13</v>
      </c>
      <c r="S30" s="307"/>
      <c r="T30" s="17">
        <v>8</v>
      </c>
      <c r="X30" s="11"/>
      <c r="Y30" s="10"/>
      <c r="Z30" s="10"/>
    </row>
    <row r="31" spans="1:26" ht="27.6" customHeight="1" thickTop="1" thickBot="1" x14ac:dyDescent="0.55000000000000004">
      <c r="A31" s="51">
        <v>21</v>
      </c>
      <c r="B31" s="51" t="s">
        <v>25</v>
      </c>
      <c r="C31" s="281" t="s">
        <v>16</v>
      </c>
      <c r="D31" s="289"/>
      <c r="E31" s="88">
        <v>8</v>
      </c>
      <c r="F31" s="249" t="s">
        <v>12</v>
      </c>
      <c r="G31" s="295"/>
      <c r="H31" s="227"/>
      <c r="I31" s="260" t="s">
        <v>16</v>
      </c>
      <c r="J31" s="550" t="s">
        <v>86</v>
      </c>
      <c r="K31" s="227">
        <v>8</v>
      </c>
      <c r="L31" s="241" t="s">
        <v>13</v>
      </c>
      <c r="M31" s="300"/>
      <c r="N31" s="46">
        <v>8</v>
      </c>
      <c r="O31" s="41" t="s">
        <v>15</v>
      </c>
      <c r="P31" s="302"/>
      <c r="Q31" s="227">
        <v>8</v>
      </c>
      <c r="R31" s="49" t="s">
        <v>14</v>
      </c>
      <c r="S31" s="301"/>
      <c r="T31" s="227">
        <v>8</v>
      </c>
      <c r="X31" s="11"/>
      <c r="Y31" s="10"/>
      <c r="Z31" s="10"/>
    </row>
    <row r="32" spans="1:26" ht="27.6" thickTop="1" thickBot="1" x14ac:dyDescent="0.55000000000000004">
      <c r="A32" s="44">
        <v>22</v>
      </c>
      <c r="B32" s="44" t="s">
        <v>28</v>
      </c>
      <c r="C32" s="279" t="s">
        <v>16</v>
      </c>
      <c r="D32" s="284"/>
      <c r="E32" s="88">
        <v>8</v>
      </c>
      <c r="F32" s="249" t="s">
        <v>12</v>
      </c>
      <c r="G32" s="286"/>
      <c r="H32" s="227"/>
      <c r="I32" s="260" t="s">
        <v>16</v>
      </c>
      <c r="J32" s="551" t="s">
        <v>86</v>
      </c>
      <c r="K32" s="227">
        <v>8</v>
      </c>
      <c r="L32" s="242" t="s">
        <v>13</v>
      </c>
      <c r="M32" s="292"/>
      <c r="N32" s="39">
        <v>8</v>
      </c>
      <c r="O32" s="248" t="s">
        <v>15</v>
      </c>
      <c r="P32" s="294"/>
      <c r="Q32" s="226">
        <v>8</v>
      </c>
      <c r="R32" s="43" t="s">
        <v>14</v>
      </c>
      <c r="S32" s="293"/>
      <c r="T32" s="226">
        <v>8</v>
      </c>
      <c r="W32" s="54" t="s">
        <v>12</v>
      </c>
      <c r="X32" s="11"/>
      <c r="Y32" s="10"/>
      <c r="Z32" s="10"/>
    </row>
    <row r="33" spans="1:26" ht="27.6" customHeight="1" thickTop="1" thickBot="1" x14ac:dyDescent="0.55000000000000004">
      <c r="A33" s="44">
        <v>23</v>
      </c>
      <c r="B33" s="44" t="s">
        <v>31</v>
      </c>
      <c r="C33" s="279" t="s">
        <v>16</v>
      </c>
      <c r="D33" s="284"/>
      <c r="E33" s="88">
        <v>8</v>
      </c>
      <c r="F33" s="41" t="s">
        <v>15</v>
      </c>
      <c r="G33" s="294"/>
      <c r="H33" s="227">
        <v>8</v>
      </c>
      <c r="I33" s="260" t="s">
        <v>16</v>
      </c>
      <c r="J33" s="551" t="s">
        <v>86</v>
      </c>
      <c r="K33" s="227">
        <v>8</v>
      </c>
      <c r="L33" s="242" t="s">
        <v>13</v>
      </c>
      <c r="M33" s="292"/>
      <c r="N33" s="39">
        <v>8</v>
      </c>
      <c r="O33" s="249" t="s">
        <v>12</v>
      </c>
      <c r="P33" s="286"/>
      <c r="Q33" s="227"/>
      <c r="R33" s="49" t="s">
        <v>14</v>
      </c>
      <c r="S33" s="293"/>
      <c r="T33" s="227">
        <v>8</v>
      </c>
      <c r="X33" s="11"/>
      <c r="Y33" s="10"/>
      <c r="Z33" s="10"/>
    </row>
    <row r="34" spans="1:26" ht="27.6" thickTop="1" thickBot="1" x14ac:dyDescent="0.55000000000000004">
      <c r="A34" s="44">
        <v>24</v>
      </c>
      <c r="B34" s="44" t="s">
        <v>35</v>
      </c>
      <c r="C34" s="278" t="s">
        <v>12</v>
      </c>
      <c r="D34" s="286"/>
      <c r="E34" s="39"/>
      <c r="F34" s="41" t="s">
        <v>15</v>
      </c>
      <c r="G34" s="294"/>
      <c r="H34" s="227">
        <v>8</v>
      </c>
      <c r="I34" s="260" t="s">
        <v>16</v>
      </c>
      <c r="J34" s="551" t="s">
        <v>86</v>
      </c>
      <c r="K34" s="227">
        <v>8</v>
      </c>
      <c r="L34" s="241" t="s">
        <v>13</v>
      </c>
      <c r="M34" s="292"/>
      <c r="N34" s="39">
        <v>8</v>
      </c>
      <c r="O34" s="250" t="s">
        <v>12</v>
      </c>
      <c r="P34" s="286"/>
      <c r="Q34" s="226"/>
      <c r="R34" s="43" t="s">
        <v>14</v>
      </c>
      <c r="S34" s="293"/>
      <c r="T34" s="226">
        <v>8</v>
      </c>
      <c r="X34" s="14"/>
      <c r="Y34" s="10"/>
      <c r="Z34" s="10"/>
    </row>
    <row r="35" spans="1:26" ht="27.6" customHeight="1" thickTop="1" thickBot="1" x14ac:dyDescent="0.55000000000000004">
      <c r="A35" s="38">
        <v>25</v>
      </c>
      <c r="B35" s="38" t="s">
        <v>11</v>
      </c>
      <c r="C35" s="34" t="s">
        <v>13</v>
      </c>
      <c r="D35" s="287"/>
      <c r="E35" s="31">
        <v>8</v>
      </c>
      <c r="F35" s="33" t="s">
        <v>15</v>
      </c>
      <c r="G35" s="297"/>
      <c r="H35" s="238">
        <v>8</v>
      </c>
      <c r="I35" s="261" t="s">
        <v>16</v>
      </c>
      <c r="J35" s="552" t="s">
        <v>86</v>
      </c>
      <c r="K35" s="238">
        <v>8</v>
      </c>
      <c r="L35" s="243" t="s">
        <v>12</v>
      </c>
      <c r="M35" s="298"/>
      <c r="N35" s="31"/>
      <c r="O35" s="18" t="s">
        <v>32</v>
      </c>
      <c r="P35" s="299"/>
      <c r="Q35" s="238"/>
      <c r="R35" s="251" t="s">
        <v>14</v>
      </c>
      <c r="S35" s="298"/>
      <c r="T35" s="238">
        <v>8</v>
      </c>
      <c r="W35" s="7" t="s">
        <v>16</v>
      </c>
      <c r="X35" s="11"/>
      <c r="Y35" s="10"/>
      <c r="Z35" s="10"/>
    </row>
    <row r="36" spans="1:26" ht="27.6" thickTop="1" thickBot="1" x14ac:dyDescent="0.55000000000000004">
      <c r="A36" s="83">
        <v>26</v>
      </c>
      <c r="B36" s="83" t="s">
        <v>19</v>
      </c>
      <c r="C36" s="27" t="s">
        <v>13</v>
      </c>
      <c r="D36" s="288"/>
      <c r="E36" s="25">
        <v>8</v>
      </c>
      <c r="F36" s="254" t="s">
        <v>15</v>
      </c>
      <c r="G36" s="303"/>
      <c r="H36" s="225">
        <v>8</v>
      </c>
      <c r="I36" s="252" t="s">
        <v>14</v>
      </c>
      <c r="J36" s="553" t="s">
        <v>86</v>
      </c>
      <c r="K36" s="239">
        <v>8</v>
      </c>
      <c r="L36" s="244" t="s">
        <v>12</v>
      </c>
      <c r="M36" s="304"/>
      <c r="N36" s="25"/>
      <c r="O36" s="323" t="s">
        <v>32</v>
      </c>
      <c r="P36" s="305"/>
      <c r="Q36" s="25"/>
      <c r="R36" s="247" t="s">
        <v>12</v>
      </c>
      <c r="S36" s="304"/>
      <c r="T36" s="25"/>
      <c r="X36" s="11"/>
      <c r="Y36" s="10"/>
      <c r="Z36" s="10"/>
    </row>
    <row r="37" spans="1:26" ht="27.6" customHeight="1" thickTop="1" thickBot="1" x14ac:dyDescent="0.55000000000000004">
      <c r="A37" s="82">
        <v>27</v>
      </c>
      <c r="B37" s="82" t="s">
        <v>22</v>
      </c>
      <c r="C37" s="241" t="s">
        <v>13</v>
      </c>
      <c r="D37" s="306"/>
      <c r="E37" s="17">
        <v>8</v>
      </c>
      <c r="F37" s="255" t="s">
        <v>12</v>
      </c>
      <c r="G37" s="306"/>
      <c r="H37" s="228"/>
      <c r="I37" s="236" t="s">
        <v>12</v>
      </c>
      <c r="J37" s="553" t="s">
        <v>87</v>
      </c>
      <c r="K37" s="17"/>
      <c r="L37" s="253" t="s">
        <v>14</v>
      </c>
      <c r="M37" s="307"/>
      <c r="N37" s="17">
        <v>8</v>
      </c>
      <c r="O37" s="326" t="s">
        <v>32</v>
      </c>
      <c r="P37" s="308"/>
      <c r="Q37" s="228"/>
      <c r="R37" s="21" t="s">
        <v>15</v>
      </c>
      <c r="S37" s="309"/>
      <c r="T37" s="256">
        <v>8</v>
      </c>
      <c r="X37" s="11"/>
      <c r="Y37" s="10"/>
      <c r="Z37" s="10"/>
    </row>
    <row r="38" spans="1:26" ht="27.6" thickTop="1" thickBot="1" x14ac:dyDescent="0.55000000000000004">
      <c r="A38" s="51">
        <v>28</v>
      </c>
      <c r="B38" s="51" t="s">
        <v>25</v>
      </c>
      <c r="C38" s="283" t="s">
        <v>12</v>
      </c>
      <c r="D38" s="291"/>
      <c r="E38" s="227"/>
      <c r="F38" s="241" t="s">
        <v>13</v>
      </c>
      <c r="G38" s="300"/>
      <c r="H38" s="46">
        <v>8</v>
      </c>
      <c r="I38" s="260" t="s">
        <v>16</v>
      </c>
      <c r="J38" s="551" t="s">
        <v>86</v>
      </c>
      <c r="K38" s="227">
        <v>8</v>
      </c>
      <c r="L38" s="49" t="s">
        <v>14</v>
      </c>
      <c r="M38" s="301"/>
      <c r="N38" s="227">
        <v>8</v>
      </c>
      <c r="O38" s="249" t="s">
        <v>12</v>
      </c>
      <c r="P38" s="557"/>
      <c r="Q38" s="227"/>
      <c r="R38" s="41" t="s">
        <v>15</v>
      </c>
      <c r="S38" s="302"/>
      <c r="T38" s="227">
        <v>8</v>
      </c>
      <c r="X38" s="11"/>
      <c r="Y38" s="10"/>
      <c r="Z38" s="10"/>
    </row>
    <row r="39" spans="1:26" ht="27.6" customHeight="1" thickTop="1" thickBot="1" x14ac:dyDescent="0.55000000000000004">
      <c r="A39" s="44">
        <v>29</v>
      </c>
      <c r="B39" s="44" t="s">
        <v>28</v>
      </c>
      <c r="C39" s="242" t="s">
        <v>13</v>
      </c>
      <c r="D39" s="261"/>
      <c r="E39" s="227">
        <v>8</v>
      </c>
      <c r="F39" s="275" t="s">
        <v>32</v>
      </c>
      <c r="G39" s="292"/>
      <c r="H39" s="39"/>
      <c r="I39" s="260" t="s">
        <v>16</v>
      </c>
      <c r="J39" s="551" t="s">
        <v>86</v>
      </c>
      <c r="K39" s="227">
        <v>8</v>
      </c>
      <c r="L39" s="43" t="s">
        <v>14</v>
      </c>
      <c r="M39" s="293"/>
      <c r="N39" s="226">
        <v>8</v>
      </c>
      <c r="O39" s="249" t="s">
        <v>12</v>
      </c>
      <c r="P39" s="558"/>
      <c r="Q39" s="227"/>
      <c r="R39" s="248" t="s">
        <v>15</v>
      </c>
      <c r="S39" s="294"/>
      <c r="T39" s="226">
        <v>8</v>
      </c>
      <c r="X39" s="11"/>
      <c r="Y39" s="10"/>
      <c r="Z39" s="10"/>
    </row>
    <row r="40" spans="1:26" ht="27.6" thickTop="1" thickBot="1" x14ac:dyDescent="0.55000000000000004">
      <c r="A40" s="44">
        <v>30</v>
      </c>
      <c r="B40" s="44" t="s">
        <v>31</v>
      </c>
      <c r="C40" s="280" t="s">
        <v>15</v>
      </c>
      <c r="E40" s="227">
        <v>8</v>
      </c>
      <c r="F40" s="242" t="s">
        <v>13</v>
      </c>
      <c r="G40" s="292"/>
      <c r="H40" s="39">
        <v>8</v>
      </c>
      <c r="I40" s="260" t="s">
        <v>16</v>
      </c>
      <c r="J40" s="558" t="s">
        <v>86</v>
      </c>
      <c r="K40" s="325">
        <v>8</v>
      </c>
      <c r="L40" s="49" t="s">
        <v>14</v>
      </c>
      <c r="M40" s="293"/>
      <c r="N40" s="227">
        <v>8</v>
      </c>
      <c r="O40" s="275" t="s">
        <v>32</v>
      </c>
      <c r="P40" s="558"/>
      <c r="Q40" s="227"/>
      <c r="R40" s="249" t="s">
        <v>12</v>
      </c>
      <c r="S40" s="286"/>
      <c r="T40" s="227"/>
      <c r="X40" s="14"/>
      <c r="Y40" s="10"/>
      <c r="Z40" s="10"/>
    </row>
    <row r="41" spans="1:26" ht="27.6" hidden="1" thickTop="1" thickBot="1" x14ac:dyDescent="0.55000000000000004">
      <c r="A41" s="51">
        <v>31</v>
      </c>
      <c r="B41" s="51"/>
      <c r="C41" s="233"/>
      <c r="D41" s="316"/>
      <c r="E41" s="46"/>
      <c r="F41" s="241"/>
      <c r="G41" s="274"/>
      <c r="H41" s="46"/>
      <c r="I41" s="237"/>
      <c r="J41" s="276"/>
      <c r="K41" s="88"/>
      <c r="L41" s="49"/>
      <c r="M41" s="49"/>
      <c r="N41" s="227"/>
      <c r="O41" s="249"/>
      <c r="P41" s="249"/>
      <c r="Q41" s="227"/>
      <c r="R41" s="41"/>
      <c r="S41" s="33"/>
      <c r="T41" s="46"/>
      <c r="X41" s="11"/>
      <c r="Y41" s="10"/>
    </row>
    <row r="42" spans="1:26" ht="28.8" thickTop="1" thickBot="1" x14ac:dyDescent="0.55000000000000004">
      <c r="D42" s="316"/>
      <c r="E42" s="263">
        <f>SUM(E11:E41)</f>
        <v>160</v>
      </c>
      <c r="H42" s="263">
        <f>SUM(H11:H41)</f>
        <v>160</v>
      </c>
      <c r="K42" s="263">
        <f>SUM(K11:K41)</f>
        <v>176</v>
      </c>
      <c r="N42" s="263">
        <f>SUM(N11:N41)</f>
        <v>170</v>
      </c>
      <c r="Q42" s="263">
        <f>SUM(Q11:Q41)</f>
        <v>136</v>
      </c>
      <c r="T42" s="263">
        <f>SUM(T11:T41)</f>
        <v>160</v>
      </c>
      <c r="X42" s="11"/>
      <c r="Y42" s="10"/>
    </row>
    <row r="43" spans="1:26" ht="26.4" thickTop="1" x14ac:dyDescent="0.5">
      <c r="C43" s="316" t="s">
        <v>32</v>
      </c>
      <c r="D43" s="316"/>
      <c r="E43" s="317">
        <f>COUNTIF(C11:C41,"FERIE")*8</f>
        <v>8</v>
      </c>
      <c r="F43" s="316" t="s">
        <v>32</v>
      </c>
      <c r="G43" s="316"/>
      <c r="H43" s="317">
        <f>COUNTIF(F11:F41,"FERIE")*8</f>
        <v>8</v>
      </c>
      <c r="I43" s="316" t="s">
        <v>32</v>
      </c>
      <c r="J43" s="316"/>
      <c r="K43" s="317">
        <f>COUNTIF(I11:I41,"FERIE")*8</f>
        <v>24</v>
      </c>
      <c r="L43" s="316" t="s">
        <v>32</v>
      </c>
      <c r="M43" s="316"/>
      <c r="N43" s="317">
        <f>COUNTIF(L11:L41,"FERIE")*8</f>
        <v>0</v>
      </c>
      <c r="O43" s="316" t="s">
        <v>32</v>
      </c>
      <c r="P43" s="316"/>
      <c r="Q43" s="317">
        <f>COUNTIF(O11:O41,"FERIE")*8</f>
        <v>32</v>
      </c>
      <c r="R43" s="316" t="s">
        <v>32</v>
      </c>
      <c r="S43" s="316"/>
      <c r="T43" s="317">
        <f>COUNTIF(R11:R41,"FERIE")*8</f>
        <v>0</v>
      </c>
      <c r="X43" s="11"/>
      <c r="Y43" s="10"/>
    </row>
    <row r="44" spans="1:26" ht="25.8" x14ac:dyDescent="0.5">
      <c r="C44" s="316" t="s">
        <v>55</v>
      </c>
      <c r="D44" s="318"/>
      <c r="E44" s="317">
        <f>COUNTIF(C11:C41,"riposo")</f>
        <v>8</v>
      </c>
      <c r="F44" s="316" t="s">
        <v>55</v>
      </c>
      <c r="G44" s="316"/>
      <c r="H44" s="317">
        <f>COUNTIF(F11:F41,"riposo")</f>
        <v>9</v>
      </c>
      <c r="I44" s="316" t="s">
        <v>55</v>
      </c>
      <c r="J44" s="316"/>
      <c r="K44" s="317">
        <f>COUNTIF(I11:I41,"riposo")</f>
        <v>7</v>
      </c>
      <c r="L44" s="316" t="s">
        <v>55</v>
      </c>
      <c r="M44" s="316"/>
      <c r="N44" s="317">
        <f>COUNTIF(L11:L41,"riposo")</f>
        <v>9</v>
      </c>
      <c r="O44" s="316" t="s">
        <v>55</v>
      </c>
      <c r="P44" s="316"/>
      <c r="Q44" s="317">
        <f>COUNTIF(O11:O41,"riposo")</f>
        <v>9</v>
      </c>
      <c r="R44" s="316" t="s">
        <v>55</v>
      </c>
      <c r="S44" s="316"/>
      <c r="T44" s="317">
        <f>COUNTIF(R11:R41,"riposo")</f>
        <v>10</v>
      </c>
      <c r="X44" s="11"/>
      <c r="Y44" s="10"/>
    </row>
    <row r="45" spans="1:26" ht="25.8" x14ac:dyDescent="0.5">
      <c r="C45" s="316" t="s">
        <v>56</v>
      </c>
      <c r="E45" s="317">
        <f>E42-E43</f>
        <v>152</v>
      </c>
      <c r="F45" s="316" t="s">
        <v>56</v>
      </c>
      <c r="G45" s="316"/>
      <c r="H45" s="317">
        <f>+H42-H43</f>
        <v>152</v>
      </c>
      <c r="I45" s="316" t="s">
        <v>56</v>
      </c>
      <c r="J45" s="316"/>
      <c r="K45" s="317">
        <f>+K42-K43</f>
        <v>152</v>
      </c>
      <c r="L45" s="316" t="s">
        <v>56</v>
      </c>
      <c r="M45" s="316"/>
      <c r="N45" s="317">
        <f>+N42-N43</f>
        <v>170</v>
      </c>
      <c r="O45" s="316" t="s">
        <v>56</v>
      </c>
      <c r="P45" s="316"/>
      <c r="Q45" s="317">
        <f>+Q42-Q43</f>
        <v>104</v>
      </c>
      <c r="R45" s="316" t="s">
        <v>56</v>
      </c>
      <c r="S45" s="316"/>
      <c r="T45" s="317">
        <f>+T42-T43</f>
        <v>160</v>
      </c>
      <c r="X45" s="11"/>
      <c r="Y45" s="10"/>
    </row>
    <row r="46" spans="1:26" ht="25.8" x14ac:dyDescent="0.5">
      <c r="C46" s="316" t="s">
        <v>88</v>
      </c>
      <c r="D46" s="11"/>
      <c r="E46" s="317">
        <f>COUNTIF(D11:D39,"R")</f>
        <v>13</v>
      </c>
      <c r="F46" s="316" t="s">
        <v>88</v>
      </c>
      <c r="G46" s="318"/>
      <c r="H46" s="317">
        <f>COUNTIF(G11:G41,"R")</f>
        <v>0</v>
      </c>
      <c r="I46" s="316" t="s">
        <v>88</v>
      </c>
      <c r="J46" s="318"/>
      <c r="K46" s="317">
        <f>COUNTIF(J11:J41,"R")</f>
        <v>16</v>
      </c>
      <c r="L46" s="316" t="s">
        <v>88</v>
      </c>
      <c r="M46" s="318"/>
      <c r="N46" s="317">
        <f>COUNTIF(M11:M41,"R")</f>
        <v>0</v>
      </c>
      <c r="O46" s="316" t="s">
        <v>88</v>
      </c>
      <c r="P46" s="318"/>
      <c r="Q46" s="317">
        <f>COUNTIF(P11:P41,"R")</f>
        <v>0</v>
      </c>
      <c r="R46" s="316" t="s">
        <v>88</v>
      </c>
      <c r="S46" s="318"/>
      <c r="T46" s="317">
        <f>COUNTIF(S11:S41,"R")</f>
        <v>0</v>
      </c>
      <c r="X46" s="11"/>
      <c r="Y46" s="10"/>
    </row>
    <row r="47" spans="1:26" ht="25.8" x14ac:dyDescent="0.5">
      <c r="D47" s="11"/>
      <c r="X47" s="11"/>
      <c r="Y47" s="10"/>
    </row>
    <row r="48" spans="1:26" ht="25.8" x14ac:dyDescent="0.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X48" s="11"/>
      <c r="Y48" s="10"/>
    </row>
    <row r="49" spans="1:25" ht="25.8" x14ac:dyDescent="0.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X49" s="11"/>
      <c r="Y49" s="10"/>
    </row>
    <row r="50" spans="1:25" ht="23.4" customHeight="1" x14ac:dyDescent="0.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5" ht="25.8" x14ac:dyDescent="0.5">
      <c r="A51" s="11"/>
      <c r="B51" s="11"/>
      <c r="C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5" ht="25.8" x14ac:dyDescent="0.5">
      <c r="A52" s="11"/>
      <c r="B52" s="11"/>
      <c r="C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</sheetData>
  <mergeCells count="23">
    <mergeCell ref="A5:T5"/>
    <mergeCell ref="A6:B8"/>
    <mergeCell ref="C6:T6"/>
    <mergeCell ref="C7:C8"/>
    <mergeCell ref="E7:E8"/>
    <mergeCell ref="F7:F8"/>
    <mergeCell ref="H7:H8"/>
    <mergeCell ref="I7:I8"/>
    <mergeCell ref="K7:K8"/>
    <mergeCell ref="L7:L8"/>
    <mergeCell ref="D7:D8"/>
    <mergeCell ref="G7:G8"/>
    <mergeCell ref="J7:J8"/>
    <mergeCell ref="M7:M8"/>
    <mergeCell ref="X16:Y16"/>
    <mergeCell ref="N7:N8"/>
    <mergeCell ref="O7:O8"/>
    <mergeCell ref="Q7:Q8"/>
    <mergeCell ref="R7:R8"/>
    <mergeCell ref="T7:T8"/>
    <mergeCell ref="X15:Y15"/>
    <mergeCell ref="P7:P8"/>
    <mergeCell ref="S7:S8"/>
  </mergeCells>
  <pageMargins left="0.7" right="0.7" top="0.75" bottom="0.75" header="0.3" footer="0.3"/>
  <pageSetup paperSize="8" scale="4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2:AF54"/>
  <sheetViews>
    <sheetView zoomScale="50" zoomScaleNormal="50" zoomScaleSheetLayoutView="40" workbookViewId="0">
      <pane ySplit="8" topLeftCell="A9" activePane="bottomLeft" state="frozen"/>
      <selection activeCell="F1" sqref="F1"/>
      <selection pane="bottomLeft" activeCell="I31" sqref="I31:O32"/>
    </sheetView>
  </sheetViews>
  <sheetFormatPr defaultColWidth="14.44140625" defaultRowHeight="14.4" x14ac:dyDescent="0.3"/>
  <cols>
    <col min="1" max="2" width="21.6640625" customWidth="1"/>
    <col min="3" max="3" width="30.6640625" customWidth="1"/>
    <col min="4" max="5" width="14.44140625" customWidth="1"/>
    <col min="6" max="6" width="30.6640625" customWidth="1"/>
    <col min="7" max="8" width="14.44140625" customWidth="1"/>
    <col min="9" max="9" width="32.6640625" customWidth="1"/>
    <col min="10" max="10" width="14.44140625" style="312" customWidth="1"/>
    <col min="11" max="11" width="15.5546875" customWidth="1"/>
    <col min="12" max="12" width="31.44140625" customWidth="1"/>
    <col min="13" max="13" width="14.44140625" customWidth="1"/>
    <col min="14" max="14" width="14.6640625" customWidth="1"/>
    <col min="15" max="15" width="29.33203125" customWidth="1"/>
    <col min="16" max="16" width="14.44140625" customWidth="1"/>
    <col min="17" max="17" width="15.5546875" customWidth="1"/>
    <col min="18" max="18" width="34.44140625" customWidth="1"/>
    <col min="19" max="19" width="14.44140625" customWidth="1"/>
    <col min="20" max="20" width="15.5546875" customWidth="1"/>
    <col min="21" max="22" width="9.109375" customWidth="1"/>
    <col min="23" max="24" width="33.88671875" customWidth="1"/>
    <col min="25" max="25" width="67.44140625" customWidth="1"/>
    <col min="26" max="32" width="9.109375" customWidth="1"/>
  </cols>
  <sheetData>
    <row r="2" spans="1:32" ht="24" x14ac:dyDescent="0.45">
      <c r="A2" s="79"/>
      <c r="B2" s="79"/>
      <c r="C2" s="78"/>
      <c r="D2" s="78"/>
      <c r="E2" s="79" t="s">
        <v>0</v>
      </c>
      <c r="F2" s="78"/>
      <c r="G2" s="78"/>
      <c r="H2" s="79"/>
      <c r="I2" s="79"/>
      <c r="J2" s="311"/>
      <c r="K2" s="78"/>
      <c r="L2" s="78"/>
      <c r="M2" s="78"/>
      <c r="N2" s="78"/>
      <c r="O2" s="79"/>
      <c r="P2" s="79"/>
      <c r="Q2" s="78"/>
      <c r="R2" s="79"/>
      <c r="S2" s="79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</row>
    <row r="3" spans="1:32" ht="24" x14ac:dyDescent="0.45">
      <c r="A3" s="79"/>
      <c r="B3" s="79"/>
      <c r="C3" s="78"/>
      <c r="D3" s="78"/>
      <c r="E3" s="79" t="s">
        <v>1</v>
      </c>
      <c r="F3" s="78"/>
      <c r="G3" s="78"/>
      <c r="H3" s="79"/>
      <c r="I3" s="79"/>
      <c r="J3" s="311"/>
      <c r="K3" s="78"/>
      <c r="L3" s="78"/>
      <c r="M3" s="78"/>
      <c r="N3" s="78"/>
      <c r="O3" s="79"/>
      <c r="P3" s="79"/>
      <c r="Q3" s="78"/>
      <c r="R3" s="79"/>
      <c r="S3" s="79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2" ht="15" thickBot="1" x14ac:dyDescent="0.35"/>
    <row r="5" spans="1:32" ht="54.6" thickTop="1" thickBot="1" x14ac:dyDescent="0.35">
      <c r="A5" s="653" t="s">
        <v>2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 s="654"/>
      <c r="N5" s="654"/>
      <c r="O5" s="654"/>
      <c r="P5" s="654"/>
      <c r="Q5" s="654"/>
      <c r="R5" s="654"/>
      <c r="S5" s="654"/>
      <c r="T5" s="655"/>
    </row>
    <row r="6" spans="1:32" ht="27" thickTop="1" thickBot="1" x14ac:dyDescent="0.35">
      <c r="A6" s="656" t="s">
        <v>89</v>
      </c>
      <c r="B6" s="657"/>
      <c r="C6" s="660"/>
      <c r="D6" s="660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2"/>
    </row>
    <row r="7" spans="1:32" ht="15" customHeight="1" thickTop="1" x14ac:dyDescent="0.3">
      <c r="A7" s="658"/>
      <c r="B7" s="658"/>
      <c r="C7" s="663" t="s">
        <v>4</v>
      </c>
      <c r="D7" s="669" t="s">
        <v>85</v>
      </c>
      <c r="E7" s="649" t="s">
        <v>5</v>
      </c>
      <c r="F7" s="664" t="s">
        <v>6</v>
      </c>
      <c r="G7" s="669" t="s">
        <v>85</v>
      </c>
      <c r="H7" s="649" t="s">
        <v>5</v>
      </c>
      <c r="I7" s="665" t="s">
        <v>7</v>
      </c>
      <c r="J7" s="669" t="s">
        <v>85</v>
      </c>
      <c r="K7" s="649" t="s">
        <v>5</v>
      </c>
      <c r="L7" s="666" t="s">
        <v>8</v>
      </c>
      <c r="M7" s="669" t="s">
        <v>85</v>
      </c>
      <c r="N7" s="649" t="s">
        <v>5</v>
      </c>
      <c r="O7" s="651" t="s">
        <v>9</v>
      </c>
      <c r="P7" s="669" t="s">
        <v>85</v>
      </c>
      <c r="Q7" s="649" t="s">
        <v>5</v>
      </c>
      <c r="R7" s="652" t="s">
        <v>10</v>
      </c>
      <c r="S7" s="669" t="s">
        <v>85</v>
      </c>
      <c r="T7" s="649" t="s">
        <v>5</v>
      </c>
    </row>
    <row r="8" spans="1:32" ht="24" customHeight="1" thickBot="1" x14ac:dyDescent="0.5">
      <c r="A8" s="659"/>
      <c r="B8" s="659"/>
      <c r="C8" s="650"/>
      <c r="D8" s="677"/>
      <c r="E8" s="650"/>
      <c r="F8" s="650"/>
      <c r="G8" s="677"/>
      <c r="H8" s="650"/>
      <c r="I8" s="650"/>
      <c r="J8" s="677"/>
      <c r="K8" s="650"/>
      <c r="L8" s="650"/>
      <c r="M8" s="677"/>
      <c r="N8" s="650"/>
      <c r="O8" s="650"/>
      <c r="P8" s="677"/>
      <c r="Q8" s="650"/>
      <c r="R8" s="650"/>
      <c r="S8" s="677"/>
      <c r="T8" s="650"/>
      <c r="Z8" s="78"/>
      <c r="AA8" s="78"/>
      <c r="AB8" s="78"/>
    </row>
    <row r="9" spans="1:32" ht="15" thickTop="1" x14ac:dyDescent="0.3">
      <c r="J9"/>
    </row>
    <row r="10" spans="1:32" ht="15" thickBot="1" x14ac:dyDescent="0.35"/>
    <row r="11" spans="1:32" ht="30" thickTop="1" thickBot="1" x14ac:dyDescent="0.6">
      <c r="A11" s="559">
        <v>1</v>
      </c>
      <c r="B11" s="44" t="s">
        <v>35</v>
      </c>
      <c r="C11" s="332" t="s">
        <v>90</v>
      </c>
      <c r="D11" s="558"/>
      <c r="E11" s="227">
        <v>8</v>
      </c>
      <c r="F11" s="241" t="s">
        <v>91</v>
      </c>
      <c r="G11" s="558"/>
      <c r="H11" s="39">
        <v>8</v>
      </c>
      <c r="I11" s="250" t="s">
        <v>12</v>
      </c>
      <c r="J11" s="286"/>
      <c r="K11" s="39"/>
      <c r="L11" s="43" t="s">
        <v>92</v>
      </c>
      <c r="M11" s="293"/>
      <c r="N11" s="226">
        <v>8</v>
      </c>
      <c r="O11" s="260" t="s">
        <v>93</v>
      </c>
      <c r="P11" s="551" t="s">
        <v>86</v>
      </c>
      <c r="Q11" s="227">
        <v>8</v>
      </c>
      <c r="R11" s="250" t="s">
        <v>12</v>
      </c>
      <c r="S11" s="286"/>
      <c r="T11" s="226"/>
      <c r="W11" s="77" t="s">
        <v>17</v>
      </c>
      <c r="X11" s="76" t="s">
        <v>18</v>
      </c>
      <c r="Y11" s="75"/>
    </row>
    <row r="12" spans="1:32" ht="30" thickTop="1" thickBot="1" x14ac:dyDescent="0.6">
      <c r="A12" s="38">
        <v>2</v>
      </c>
      <c r="B12" s="38" t="s">
        <v>11</v>
      </c>
      <c r="C12" s="333" t="s">
        <v>90</v>
      </c>
      <c r="D12" s="552"/>
      <c r="E12" s="238">
        <v>8</v>
      </c>
      <c r="F12" s="243" t="s">
        <v>12</v>
      </c>
      <c r="G12" s="552"/>
      <c r="H12" s="31"/>
      <c r="I12" s="259" t="s">
        <v>91</v>
      </c>
      <c r="J12" s="287"/>
      <c r="K12" s="31">
        <v>8</v>
      </c>
      <c r="L12" s="246" t="s">
        <v>12</v>
      </c>
      <c r="M12" s="298"/>
      <c r="N12" s="238"/>
      <c r="O12" s="261" t="s">
        <v>93</v>
      </c>
      <c r="P12" s="552" t="s">
        <v>86</v>
      </c>
      <c r="Q12" s="238">
        <v>8</v>
      </c>
      <c r="R12" s="251" t="s">
        <v>92</v>
      </c>
      <c r="S12" s="299"/>
      <c r="T12" s="238">
        <v>8</v>
      </c>
      <c r="W12" s="74" t="s">
        <v>20</v>
      </c>
      <c r="X12" s="73" t="s">
        <v>21</v>
      </c>
      <c r="Y12" s="72"/>
    </row>
    <row r="13" spans="1:32" ht="30" thickTop="1" thickBot="1" x14ac:dyDescent="0.6">
      <c r="A13" s="30">
        <v>3</v>
      </c>
      <c r="B13" s="83" t="s">
        <v>19</v>
      </c>
      <c r="C13" s="334" t="s">
        <v>12</v>
      </c>
      <c r="D13" s="560"/>
      <c r="E13" s="225"/>
      <c r="F13" s="244" t="s">
        <v>12</v>
      </c>
      <c r="G13" s="560"/>
      <c r="H13" s="25"/>
      <c r="I13" s="257" t="s">
        <v>91</v>
      </c>
      <c r="J13" s="296"/>
      <c r="K13" s="25">
        <v>8</v>
      </c>
      <c r="L13" s="247" t="s">
        <v>12</v>
      </c>
      <c r="M13" s="304"/>
      <c r="N13" s="25"/>
      <c r="O13" s="254" t="s">
        <v>90</v>
      </c>
      <c r="P13" s="560" t="s">
        <v>86</v>
      </c>
      <c r="Q13" s="239">
        <v>8</v>
      </c>
      <c r="R13" s="252" t="s">
        <v>92</v>
      </c>
      <c r="S13" s="305"/>
      <c r="T13" s="62">
        <v>8</v>
      </c>
      <c r="W13" s="71" t="s">
        <v>23</v>
      </c>
      <c r="X13" s="70" t="s">
        <v>24</v>
      </c>
      <c r="Y13" s="69"/>
    </row>
    <row r="14" spans="1:32" ht="30" thickTop="1" thickBot="1" x14ac:dyDescent="0.6">
      <c r="A14" s="22">
        <v>4</v>
      </c>
      <c r="B14" s="82" t="s">
        <v>22</v>
      </c>
      <c r="C14" s="335" t="s">
        <v>12</v>
      </c>
      <c r="D14" s="561"/>
      <c r="E14" s="228"/>
      <c r="F14" s="245" t="s">
        <v>91</v>
      </c>
      <c r="G14" s="561"/>
      <c r="H14" s="17">
        <v>8</v>
      </c>
      <c r="I14" s="236" t="s">
        <v>12</v>
      </c>
      <c r="J14" s="306"/>
      <c r="K14" s="17"/>
      <c r="L14" s="21" t="s">
        <v>90</v>
      </c>
      <c r="M14" s="309"/>
      <c r="N14" s="256">
        <v>8</v>
      </c>
      <c r="O14" s="236" t="s">
        <v>12</v>
      </c>
      <c r="P14" s="561" t="s">
        <v>86</v>
      </c>
      <c r="Q14" s="17"/>
      <c r="R14" s="253" t="s">
        <v>92</v>
      </c>
      <c r="S14" s="308"/>
      <c r="T14" s="313">
        <v>8</v>
      </c>
      <c r="W14" s="68" t="s">
        <v>26</v>
      </c>
      <c r="X14" s="67" t="s">
        <v>27</v>
      </c>
      <c r="Y14" s="66"/>
    </row>
    <row r="15" spans="1:32" ht="30" thickTop="1" thickBot="1" x14ac:dyDescent="0.6">
      <c r="A15" s="562">
        <v>5</v>
      </c>
      <c r="B15" s="51" t="s">
        <v>25</v>
      </c>
      <c r="C15" s="336" t="s">
        <v>91</v>
      </c>
      <c r="D15" s="557"/>
      <c r="E15" s="46">
        <v>8</v>
      </c>
      <c r="F15" s="49" t="s">
        <v>92</v>
      </c>
      <c r="G15" s="557"/>
      <c r="H15" s="227">
        <v>8</v>
      </c>
      <c r="I15" s="260" t="s">
        <v>93</v>
      </c>
      <c r="J15" s="550" t="s">
        <v>86</v>
      </c>
      <c r="K15" s="227">
        <v>8</v>
      </c>
      <c r="L15" s="41" t="s">
        <v>90</v>
      </c>
      <c r="M15" s="302"/>
      <c r="N15" s="227">
        <v>8</v>
      </c>
      <c r="O15" s="237" t="s">
        <v>93</v>
      </c>
      <c r="P15" s="289"/>
      <c r="Q15" s="88">
        <v>8</v>
      </c>
      <c r="R15" s="249" t="s">
        <v>12</v>
      </c>
      <c r="S15" s="295"/>
      <c r="T15" s="227"/>
      <c r="W15" s="65" t="s">
        <v>29</v>
      </c>
      <c r="X15" s="612" t="s">
        <v>30</v>
      </c>
      <c r="Y15" s="611"/>
    </row>
    <row r="16" spans="1:32" ht="30" thickTop="1" thickBot="1" x14ac:dyDescent="0.6">
      <c r="A16" s="559">
        <v>6</v>
      </c>
      <c r="B16" s="44" t="s">
        <v>28</v>
      </c>
      <c r="C16" s="336" t="s">
        <v>91</v>
      </c>
      <c r="D16" s="558"/>
      <c r="E16" s="39">
        <v>8</v>
      </c>
      <c r="F16" s="43" t="s">
        <v>92</v>
      </c>
      <c r="G16" s="558"/>
      <c r="H16" s="226">
        <v>8</v>
      </c>
      <c r="I16" s="260" t="s">
        <v>93</v>
      </c>
      <c r="J16" s="551" t="s">
        <v>86</v>
      </c>
      <c r="K16" s="227">
        <v>8</v>
      </c>
      <c r="L16" s="248" t="s">
        <v>90</v>
      </c>
      <c r="M16" s="294"/>
      <c r="N16" s="226">
        <v>8</v>
      </c>
      <c r="O16" s="237" t="s">
        <v>93</v>
      </c>
      <c r="P16" s="284"/>
      <c r="Q16" s="88">
        <v>8</v>
      </c>
      <c r="R16" s="249" t="s">
        <v>12</v>
      </c>
      <c r="S16" s="286"/>
      <c r="T16" s="227"/>
      <c r="W16" s="64" t="s">
        <v>33</v>
      </c>
      <c r="X16" s="610" t="s">
        <v>34</v>
      </c>
      <c r="Y16" s="611"/>
    </row>
    <row r="17" spans="1:27" ht="27" thickTop="1" thickBot="1" x14ac:dyDescent="0.45">
      <c r="A17" s="563">
        <v>7</v>
      </c>
      <c r="B17" s="563" t="s">
        <v>31</v>
      </c>
      <c r="C17" s="336" t="s">
        <v>91</v>
      </c>
      <c r="D17" s="284"/>
      <c r="E17" s="39">
        <v>8</v>
      </c>
      <c r="F17" s="49" t="s">
        <v>92</v>
      </c>
      <c r="G17" s="284"/>
      <c r="H17" s="227">
        <v>8</v>
      </c>
      <c r="I17" s="249" t="s">
        <v>47</v>
      </c>
      <c r="J17" s="551" t="s">
        <v>86</v>
      </c>
      <c r="K17" s="227"/>
      <c r="L17" s="249" t="s">
        <v>12</v>
      </c>
      <c r="M17" s="286"/>
      <c r="N17" s="227"/>
      <c r="O17" s="249" t="s">
        <v>47</v>
      </c>
      <c r="P17" s="284"/>
      <c r="Q17" s="324"/>
      <c r="R17" s="41" t="s">
        <v>90</v>
      </c>
      <c r="S17" s="294"/>
      <c r="T17" s="227">
        <v>8</v>
      </c>
    </row>
    <row r="18" spans="1:27" ht="27" thickTop="1" thickBot="1" x14ac:dyDescent="0.45">
      <c r="A18" s="563">
        <v>8</v>
      </c>
      <c r="B18" s="563" t="s">
        <v>35</v>
      </c>
      <c r="C18" s="336" t="s">
        <v>91</v>
      </c>
      <c r="D18" s="284"/>
      <c r="E18" s="39">
        <v>8</v>
      </c>
      <c r="F18" s="43" t="s">
        <v>92</v>
      </c>
      <c r="G18" s="284"/>
      <c r="H18" s="226">
        <v>8</v>
      </c>
      <c r="I18" s="249" t="s">
        <v>47</v>
      </c>
      <c r="J18" s="551" t="s">
        <v>86</v>
      </c>
      <c r="K18" s="227"/>
      <c r="L18" s="250" t="s">
        <v>12</v>
      </c>
      <c r="M18" s="286"/>
      <c r="N18" s="226"/>
      <c r="O18" s="250" t="s">
        <v>47</v>
      </c>
      <c r="P18" s="286"/>
      <c r="Q18" s="39"/>
      <c r="R18" s="41" t="s">
        <v>90</v>
      </c>
      <c r="S18" s="294"/>
      <c r="T18" s="227">
        <v>8</v>
      </c>
    </row>
    <row r="19" spans="1:27" ht="27.6" thickTop="1" thickBot="1" x14ac:dyDescent="0.55000000000000004">
      <c r="A19" s="38">
        <v>9</v>
      </c>
      <c r="B19" s="38" t="s">
        <v>11</v>
      </c>
      <c r="C19" s="336" t="s">
        <v>91</v>
      </c>
      <c r="D19" s="287"/>
      <c r="E19" s="31">
        <v>8</v>
      </c>
      <c r="F19" s="246" t="s">
        <v>12</v>
      </c>
      <c r="G19" s="314"/>
      <c r="H19" s="238"/>
      <c r="I19" s="251" t="s">
        <v>92</v>
      </c>
      <c r="J19" s="552" t="s">
        <v>86</v>
      </c>
      <c r="K19" s="238">
        <v>8</v>
      </c>
      <c r="L19" s="564" t="s">
        <v>94</v>
      </c>
      <c r="M19" s="299"/>
      <c r="N19" s="238"/>
      <c r="O19" s="261" t="s">
        <v>93</v>
      </c>
      <c r="P19" s="238"/>
      <c r="Q19" s="31">
        <v>8</v>
      </c>
      <c r="R19" s="33" t="s">
        <v>90</v>
      </c>
      <c r="S19" s="297"/>
      <c r="T19" s="238">
        <v>8</v>
      </c>
      <c r="V19" s="11"/>
      <c r="W19" s="11"/>
      <c r="X19" s="10"/>
      <c r="Y19" s="10"/>
    </row>
    <row r="20" spans="1:27" ht="27.6" thickTop="1" thickBot="1" x14ac:dyDescent="0.55000000000000004">
      <c r="A20" s="30">
        <v>10</v>
      </c>
      <c r="B20" s="83" t="s">
        <v>19</v>
      </c>
      <c r="C20" s="339" t="s">
        <v>12</v>
      </c>
      <c r="D20" s="304"/>
      <c r="E20" s="25"/>
      <c r="F20" s="247" t="s">
        <v>12</v>
      </c>
      <c r="G20" s="304"/>
      <c r="H20" s="25"/>
      <c r="I20" s="252" t="s">
        <v>92</v>
      </c>
      <c r="J20" s="560" t="s">
        <v>86</v>
      </c>
      <c r="K20" s="25">
        <v>8</v>
      </c>
      <c r="L20" s="63" t="s">
        <v>94</v>
      </c>
      <c r="M20" s="305"/>
      <c r="N20" s="25"/>
      <c r="O20" s="257" t="s">
        <v>38</v>
      </c>
      <c r="P20" s="296"/>
      <c r="Q20" s="25">
        <v>8</v>
      </c>
      <c r="R20" s="254" t="s">
        <v>39</v>
      </c>
      <c r="S20" s="303"/>
      <c r="T20" s="354">
        <v>8</v>
      </c>
      <c r="V20" s="11"/>
      <c r="W20" s="11"/>
      <c r="X20" s="10"/>
      <c r="Y20" s="352"/>
      <c r="Z20" s="312"/>
      <c r="AA20" s="312"/>
    </row>
    <row r="21" spans="1:27" ht="27.6" thickTop="1" thickBot="1" x14ac:dyDescent="0.55000000000000004">
      <c r="A21" s="22">
        <v>11</v>
      </c>
      <c r="B21" s="82" t="s">
        <v>22</v>
      </c>
      <c r="C21" s="340" t="s">
        <v>91</v>
      </c>
      <c r="D21" s="307"/>
      <c r="E21" s="17">
        <v>8</v>
      </c>
      <c r="F21" s="21" t="s">
        <v>90</v>
      </c>
      <c r="G21" s="307"/>
      <c r="H21" s="256">
        <v>8</v>
      </c>
      <c r="I21" s="253" t="s">
        <v>92</v>
      </c>
      <c r="J21" s="561" t="s">
        <v>86</v>
      </c>
      <c r="K21" s="228">
        <v>8</v>
      </c>
      <c r="L21" s="18" t="s">
        <v>94</v>
      </c>
      <c r="M21" s="308"/>
      <c r="N21" s="228"/>
      <c r="O21" s="236" t="s">
        <v>12</v>
      </c>
      <c r="P21" s="306"/>
      <c r="Q21" s="17"/>
      <c r="R21" s="255" t="s">
        <v>12</v>
      </c>
      <c r="S21" s="306"/>
      <c r="T21" s="313"/>
      <c r="W21" s="678" t="s">
        <v>95</v>
      </c>
      <c r="X21" s="679"/>
      <c r="Y21" s="352"/>
      <c r="Z21" s="312"/>
      <c r="AA21" s="312"/>
    </row>
    <row r="22" spans="1:27" ht="30.6" thickTop="1" thickBot="1" x14ac:dyDescent="0.7">
      <c r="A22" s="562">
        <v>12</v>
      </c>
      <c r="B22" s="51" t="s">
        <v>25</v>
      </c>
      <c r="C22" s="341" t="s">
        <v>92</v>
      </c>
      <c r="D22" s="300"/>
      <c r="E22" s="227">
        <v>8</v>
      </c>
      <c r="F22" s="41" t="s">
        <v>90</v>
      </c>
      <c r="G22" s="300"/>
      <c r="H22" s="227">
        <v>8</v>
      </c>
      <c r="I22" s="249" t="s">
        <v>12</v>
      </c>
      <c r="J22" s="295"/>
      <c r="K22" s="227"/>
      <c r="L22" s="249" t="s">
        <v>12</v>
      </c>
      <c r="M22" s="295"/>
      <c r="N22" s="227"/>
      <c r="O22" s="260" t="s">
        <v>93</v>
      </c>
      <c r="P22" s="550" t="s">
        <v>86</v>
      </c>
      <c r="Q22" s="227">
        <v>8</v>
      </c>
      <c r="R22" s="241" t="s">
        <v>91</v>
      </c>
      <c r="S22" s="300"/>
      <c r="T22" s="46">
        <v>8</v>
      </c>
      <c r="V22" s="353"/>
      <c r="W22" s="353"/>
      <c r="X22" s="353"/>
      <c r="Y22" s="10"/>
      <c r="Z22" s="312"/>
      <c r="AA22" s="312"/>
    </row>
    <row r="23" spans="1:27" ht="30.6" thickTop="1" thickBot="1" x14ac:dyDescent="0.7">
      <c r="A23" s="559">
        <v>13</v>
      </c>
      <c r="B23" s="44" t="s">
        <v>28</v>
      </c>
      <c r="C23" s="342" t="s">
        <v>92</v>
      </c>
      <c r="D23" s="286"/>
      <c r="E23" s="226">
        <v>8</v>
      </c>
      <c r="F23" s="248" t="s">
        <v>90</v>
      </c>
      <c r="G23" s="286"/>
      <c r="H23" s="226">
        <v>8</v>
      </c>
      <c r="I23" s="249" t="s">
        <v>12</v>
      </c>
      <c r="J23" s="286"/>
      <c r="K23" s="227"/>
      <c r="L23" s="249" t="s">
        <v>12</v>
      </c>
      <c r="M23" s="286"/>
      <c r="N23" s="227"/>
      <c r="O23" s="260" t="s">
        <v>93</v>
      </c>
      <c r="P23" s="551" t="s">
        <v>86</v>
      </c>
      <c r="Q23" s="227">
        <v>8</v>
      </c>
      <c r="R23" s="242" t="s">
        <v>91</v>
      </c>
      <c r="S23" s="292"/>
      <c r="T23" s="39">
        <v>8</v>
      </c>
      <c r="V23" s="353"/>
      <c r="W23" s="353"/>
      <c r="X23" s="353"/>
      <c r="Y23" s="353"/>
      <c r="Z23" s="312"/>
      <c r="AA23" s="312"/>
    </row>
    <row r="24" spans="1:27" ht="30.6" thickTop="1" thickBot="1" x14ac:dyDescent="0.7">
      <c r="A24" s="44">
        <v>14</v>
      </c>
      <c r="B24" s="44" t="s">
        <v>31</v>
      </c>
      <c r="C24" s="341" t="s">
        <v>92</v>
      </c>
      <c r="D24" s="551"/>
      <c r="E24" s="227">
        <v>8</v>
      </c>
      <c r="F24" s="249" t="s">
        <v>12</v>
      </c>
      <c r="G24" s="551"/>
      <c r="H24" s="227"/>
      <c r="I24" s="41" t="s">
        <v>90</v>
      </c>
      <c r="J24" s="294"/>
      <c r="K24" s="227">
        <v>8</v>
      </c>
      <c r="L24" s="249" t="s">
        <v>94</v>
      </c>
      <c r="M24" s="286"/>
      <c r="N24" s="286"/>
      <c r="O24" s="260" t="s">
        <v>93</v>
      </c>
      <c r="P24" s="551" t="s">
        <v>86</v>
      </c>
      <c r="Q24" s="227">
        <v>8</v>
      </c>
      <c r="R24" s="242" t="s">
        <v>91</v>
      </c>
      <c r="S24" s="292"/>
      <c r="T24" s="39">
        <v>8</v>
      </c>
      <c r="V24" s="353"/>
      <c r="W24" s="353"/>
      <c r="X24" s="353"/>
      <c r="Y24" s="10"/>
      <c r="Z24" s="312"/>
      <c r="AA24" s="312"/>
    </row>
    <row r="25" spans="1:27" ht="30.6" thickTop="1" thickBot="1" x14ac:dyDescent="0.7">
      <c r="A25" s="44">
        <v>15</v>
      </c>
      <c r="B25" s="44" t="s">
        <v>35</v>
      </c>
      <c r="C25" s="342" t="s">
        <v>92</v>
      </c>
      <c r="D25" s="551"/>
      <c r="E25" s="226">
        <v>8</v>
      </c>
      <c r="F25" s="250" t="s">
        <v>12</v>
      </c>
      <c r="G25" s="551"/>
      <c r="H25" s="226"/>
      <c r="I25" s="41" t="s">
        <v>90</v>
      </c>
      <c r="J25" s="294"/>
      <c r="K25" s="227">
        <v>8</v>
      </c>
      <c r="L25" s="249" t="s">
        <v>94</v>
      </c>
      <c r="M25" s="286"/>
      <c r="N25" s="286"/>
      <c r="O25" s="250" t="s">
        <v>96</v>
      </c>
      <c r="P25" s="551" t="s">
        <v>86</v>
      </c>
      <c r="Q25" s="227"/>
      <c r="R25" s="241" t="s">
        <v>91</v>
      </c>
      <c r="S25" s="292"/>
      <c r="T25" s="39">
        <v>8</v>
      </c>
      <c r="V25" s="353"/>
      <c r="W25" s="353"/>
      <c r="X25" s="353"/>
      <c r="Y25" s="10"/>
      <c r="Z25" s="312"/>
      <c r="AA25" s="312"/>
    </row>
    <row r="26" spans="1:27" ht="30.6" thickTop="1" thickBot="1" x14ac:dyDescent="0.7">
      <c r="A26" s="38">
        <v>16</v>
      </c>
      <c r="B26" s="38" t="s">
        <v>11</v>
      </c>
      <c r="C26" s="343" t="s">
        <v>12</v>
      </c>
      <c r="D26" s="552"/>
      <c r="E26" s="238"/>
      <c r="F26" s="251" t="s">
        <v>92</v>
      </c>
      <c r="G26" s="552"/>
      <c r="H26" s="238">
        <v>8</v>
      </c>
      <c r="I26" s="33" t="s">
        <v>90</v>
      </c>
      <c r="J26" s="297"/>
      <c r="K26" s="238">
        <v>8</v>
      </c>
      <c r="L26" s="246" t="s">
        <v>94</v>
      </c>
      <c r="M26" s="298"/>
      <c r="N26" s="298"/>
      <c r="O26" s="261" t="s">
        <v>93</v>
      </c>
      <c r="P26" s="552" t="s">
        <v>86</v>
      </c>
      <c r="Q26" s="238">
        <v>8</v>
      </c>
      <c r="R26" s="259" t="s">
        <v>91</v>
      </c>
      <c r="S26" s="287"/>
      <c r="T26" s="31">
        <v>8</v>
      </c>
      <c r="V26" s="353"/>
      <c r="W26" s="353"/>
      <c r="X26" s="353"/>
      <c r="Y26" s="10"/>
      <c r="Z26" s="312"/>
      <c r="AA26" s="312"/>
    </row>
    <row r="27" spans="1:27" ht="30.6" thickTop="1" thickBot="1" x14ac:dyDescent="0.7">
      <c r="A27" s="30">
        <v>17</v>
      </c>
      <c r="B27" s="83" t="s">
        <v>19</v>
      </c>
      <c r="C27" s="344" t="s">
        <v>91</v>
      </c>
      <c r="D27" s="296"/>
      <c r="E27" s="25">
        <v>8</v>
      </c>
      <c r="F27" s="252" t="s">
        <v>92</v>
      </c>
      <c r="G27" s="560"/>
      <c r="H27" s="25">
        <v>8</v>
      </c>
      <c r="I27" s="254" t="s">
        <v>90</v>
      </c>
      <c r="J27" s="303"/>
      <c r="K27" s="225">
        <v>8</v>
      </c>
      <c r="L27" s="565" t="s">
        <v>94</v>
      </c>
      <c r="M27" s="304"/>
      <c r="N27" s="304"/>
      <c r="O27" s="244" t="s">
        <v>12</v>
      </c>
      <c r="P27" s="560" t="s">
        <v>86</v>
      </c>
      <c r="Q27" s="239">
        <v>8</v>
      </c>
      <c r="R27" s="244" t="s">
        <v>12</v>
      </c>
      <c r="S27" s="304"/>
      <c r="T27" s="62"/>
      <c r="V27" s="353"/>
      <c r="W27" s="353"/>
      <c r="X27" s="353"/>
      <c r="Y27" s="10"/>
    </row>
    <row r="28" spans="1:27" ht="30.6" thickTop="1" thickBot="1" x14ac:dyDescent="0.7">
      <c r="A28" s="22">
        <v>18</v>
      </c>
      <c r="B28" s="82" t="s">
        <v>22</v>
      </c>
      <c r="C28" s="345" t="s">
        <v>12</v>
      </c>
      <c r="D28" s="561"/>
      <c r="E28" s="256"/>
      <c r="F28" s="253" t="s">
        <v>92</v>
      </c>
      <c r="G28" s="561"/>
      <c r="H28" s="228">
        <v>8</v>
      </c>
      <c r="I28" s="236" t="s">
        <v>12</v>
      </c>
      <c r="J28" s="306"/>
      <c r="K28" s="17"/>
      <c r="L28" s="255" t="s">
        <v>12</v>
      </c>
      <c r="M28" s="306"/>
      <c r="N28" s="228"/>
      <c r="O28" s="21" t="s">
        <v>90</v>
      </c>
      <c r="P28" s="561" t="s">
        <v>86</v>
      </c>
      <c r="Q28" s="17">
        <v>8</v>
      </c>
      <c r="R28" s="245" t="s">
        <v>91</v>
      </c>
      <c r="S28" s="307"/>
      <c r="T28" s="52">
        <v>8</v>
      </c>
      <c r="V28" s="353"/>
      <c r="W28" s="353"/>
      <c r="X28" s="353"/>
      <c r="Y28" s="10"/>
    </row>
    <row r="29" spans="1:27" ht="30.6" thickTop="1" thickBot="1" x14ac:dyDescent="0.7">
      <c r="A29" s="562">
        <v>19</v>
      </c>
      <c r="B29" s="51" t="s">
        <v>25</v>
      </c>
      <c r="C29" s="336" t="s">
        <v>91</v>
      </c>
      <c r="D29" s="300"/>
      <c r="E29" s="46">
        <v>8</v>
      </c>
      <c r="F29" s="249" t="s">
        <v>12</v>
      </c>
      <c r="G29" s="557"/>
      <c r="H29" s="227"/>
      <c r="I29" s="260" t="s">
        <v>93</v>
      </c>
      <c r="J29" s="550" t="s">
        <v>86</v>
      </c>
      <c r="K29" s="227">
        <v>8</v>
      </c>
      <c r="L29" s="566" t="s">
        <v>94</v>
      </c>
      <c r="M29" s="300"/>
      <c r="N29" s="46"/>
      <c r="O29" s="41" t="s">
        <v>90</v>
      </c>
      <c r="P29" s="557"/>
      <c r="Q29" s="227">
        <v>8</v>
      </c>
      <c r="R29" s="49" t="s">
        <v>92</v>
      </c>
      <c r="S29" s="301"/>
      <c r="T29" s="227">
        <v>8</v>
      </c>
      <c r="V29" s="353"/>
      <c r="W29" s="353"/>
      <c r="X29" s="353"/>
      <c r="Y29" s="10"/>
    </row>
    <row r="30" spans="1:27" ht="30.6" thickTop="1" thickBot="1" x14ac:dyDescent="0.7">
      <c r="A30" s="559">
        <v>20</v>
      </c>
      <c r="B30" s="44" t="s">
        <v>28</v>
      </c>
      <c r="C30" s="249" t="s">
        <v>12</v>
      </c>
      <c r="D30" s="292"/>
      <c r="E30" s="39"/>
      <c r="F30" s="337" t="s">
        <v>91</v>
      </c>
      <c r="G30" s="558"/>
      <c r="H30" s="227">
        <v>8</v>
      </c>
      <c r="I30" s="278" t="s">
        <v>94</v>
      </c>
      <c r="J30" s="551"/>
      <c r="K30" s="227"/>
      <c r="L30" s="278" t="s">
        <v>94</v>
      </c>
      <c r="M30" s="292"/>
      <c r="N30" s="39"/>
      <c r="O30" s="248" t="s">
        <v>90</v>
      </c>
      <c r="P30" s="551" t="s">
        <v>86</v>
      </c>
      <c r="Q30" s="226">
        <v>8</v>
      </c>
      <c r="R30" s="43" t="s">
        <v>92</v>
      </c>
      <c r="S30" s="293"/>
      <c r="T30" s="226">
        <v>8</v>
      </c>
      <c r="V30" s="353"/>
      <c r="W30" s="353"/>
      <c r="X30" s="353"/>
      <c r="Y30" s="10"/>
      <c r="Z30" s="10"/>
    </row>
    <row r="31" spans="1:27" ht="30.6" thickTop="1" thickBot="1" x14ac:dyDescent="0.7">
      <c r="A31" s="44">
        <v>21</v>
      </c>
      <c r="B31" s="44" t="s">
        <v>31</v>
      </c>
      <c r="C31" s="337" t="s">
        <v>91</v>
      </c>
      <c r="D31" s="284"/>
      <c r="E31" s="227">
        <v>8</v>
      </c>
      <c r="F31" s="41" t="s">
        <v>90</v>
      </c>
      <c r="G31" s="284"/>
      <c r="H31" s="227">
        <v>8</v>
      </c>
      <c r="I31" s="278" t="s">
        <v>94</v>
      </c>
      <c r="J31" s="551"/>
      <c r="K31" s="227"/>
      <c r="L31" s="283" t="s">
        <v>12</v>
      </c>
      <c r="M31" s="292"/>
      <c r="N31" s="39"/>
      <c r="O31" s="260" t="s">
        <v>93</v>
      </c>
      <c r="P31" s="551" t="s">
        <v>86</v>
      </c>
      <c r="Q31" s="39">
        <v>8</v>
      </c>
      <c r="R31" s="49" t="s">
        <v>92</v>
      </c>
      <c r="S31" s="293"/>
      <c r="T31" s="227">
        <v>8</v>
      </c>
      <c r="V31" s="353"/>
      <c r="W31" s="353"/>
      <c r="X31" s="353"/>
      <c r="Y31" s="10"/>
      <c r="Z31" s="10"/>
    </row>
    <row r="32" spans="1:27" ht="30.6" thickTop="1" thickBot="1" x14ac:dyDescent="0.7">
      <c r="A32" s="44">
        <v>22</v>
      </c>
      <c r="B32" s="44" t="s">
        <v>35</v>
      </c>
      <c r="C32" s="337" t="s">
        <v>91</v>
      </c>
      <c r="D32" s="284"/>
      <c r="E32" s="226">
        <v>8</v>
      </c>
      <c r="F32" s="41" t="s">
        <v>90</v>
      </c>
      <c r="G32" s="284"/>
      <c r="H32" s="227">
        <v>8</v>
      </c>
      <c r="I32" s="278" t="s">
        <v>12</v>
      </c>
      <c r="J32" s="551"/>
      <c r="K32" s="227"/>
      <c r="L32" s="249" t="s">
        <v>94</v>
      </c>
      <c r="M32" s="292"/>
      <c r="N32" s="39"/>
      <c r="O32" s="260" t="s">
        <v>93</v>
      </c>
      <c r="P32" s="551" t="s">
        <v>86</v>
      </c>
      <c r="Q32" s="39">
        <v>8</v>
      </c>
      <c r="R32" s="49" t="s">
        <v>92</v>
      </c>
      <c r="S32" s="293"/>
      <c r="T32" s="226">
        <v>8</v>
      </c>
      <c r="V32" s="353"/>
      <c r="W32" s="353"/>
      <c r="X32" s="353"/>
      <c r="Y32" s="10"/>
      <c r="Z32" s="10"/>
    </row>
    <row r="33" spans="1:26" ht="30.6" thickTop="1" thickBot="1" x14ac:dyDescent="0.7">
      <c r="A33" s="38">
        <v>23</v>
      </c>
      <c r="B33" s="38" t="s">
        <v>11</v>
      </c>
      <c r="C33" s="338" t="s">
        <v>91</v>
      </c>
      <c r="D33" s="287"/>
      <c r="E33" s="31">
        <v>8</v>
      </c>
      <c r="F33" s="261" t="s">
        <v>93</v>
      </c>
      <c r="G33" s="314"/>
      <c r="H33" s="238">
        <v>8</v>
      </c>
      <c r="I33" s="33" t="s">
        <v>90</v>
      </c>
      <c r="J33" s="552" t="s">
        <v>86</v>
      </c>
      <c r="K33" s="238">
        <v>8</v>
      </c>
      <c r="L33" s="246" t="s">
        <v>94</v>
      </c>
      <c r="M33" s="298"/>
      <c r="N33" s="31"/>
      <c r="O33" s="251" t="s">
        <v>92</v>
      </c>
      <c r="P33" s="298"/>
      <c r="Q33" s="31">
        <v>8</v>
      </c>
      <c r="R33" s="246" t="s">
        <v>12</v>
      </c>
      <c r="S33" s="298"/>
      <c r="T33" s="238"/>
      <c r="V33" s="353"/>
      <c r="W33" s="353"/>
      <c r="X33" s="353"/>
      <c r="Y33" s="10"/>
      <c r="Z33" s="10"/>
    </row>
    <row r="34" spans="1:26" ht="30.6" thickTop="1" thickBot="1" x14ac:dyDescent="0.7">
      <c r="A34" s="30">
        <v>24</v>
      </c>
      <c r="B34" s="83" t="s">
        <v>19</v>
      </c>
      <c r="C34" s="346" t="s">
        <v>12</v>
      </c>
      <c r="D34" s="304"/>
      <c r="E34" s="25"/>
      <c r="F34" s="254" t="s">
        <v>90</v>
      </c>
      <c r="G34" s="304"/>
      <c r="H34" s="225">
        <v>8</v>
      </c>
      <c r="I34" s="329" t="s">
        <v>91</v>
      </c>
      <c r="J34" s="560" t="s">
        <v>86</v>
      </c>
      <c r="K34" s="239">
        <v>8</v>
      </c>
      <c r="L34" s="566" t="s">
        <v>94</v>
      </c>
      <c r="M34" s="304"/>
      <c r="N34" s="304"/>
      <c r="O34" s="252" t="s">
        <v>92</v>
      </c>
      <c r="P34" s="304"/>
      <c r="Q34" s="25">
        <v>8</v>
      </c>
      <c r="R34" s="247" t="s">
        <v>12</v>
      </c>
      <c r="S34" s="304"/>
      <c r="T34" s="62"/>
      <c r="V34" s="353"/>
      <c r="W34" s="353"/>
      <c r="X34" s="353"/>
      <c r="Y34" s="10"/>
      <c r="Z34" s="10"/>
    </row>
    <row r="35" spans="1:26" ht="30.6" thickTop="1" thickBot="1" x14ac:dyDescent="0.7">
      <c r="A35" s="22">
        <v>25</v>
      </c>
      <c r="B35" s="82" t="s">
        <v>22</v>
      </c>
      <c r="C35" s="347" t="s">
        <v>91</v>
      </c>
      <c r="D35" s="307"/>
      <c r="E35" s="228">
        <v>8</v>
      </c>
      <c r="F35" s="255" t="s">
        <v>12</v>
      </c>
      <c r="G35" s="307"/>
      <c r="H35" s="228"/>
      <c r="I35" s="330" t="s">
        <v>92</v>
      </c>
      <c r="J35" s="561" t="s">
        <v>86</v>
      </c>
      <c r="K35" s="17">
        <v>8</v>
      </c>
      <c r="L35" s="18" t="s">
        <v>94</v>
      </c>
      <c r="M35" s="306"/>
      <c r="N35" s="306"/>
      <c r="O35" s="327" t="s">
        <v>90</v>
      </c>
      <c r="P35" s="309"/>
      <c r="Q35" s="17">
        <v>8</v>
      </c>
      <c r="R35" s="321" t="s">
        <v>32</v>
      </c>
      <c r="S35" s="309"/>
      <c r="T35" s="315"/>
      <c r="V35" s="353"/>
      <c r="W35" s="353"/>
      <c r="X35" s="353"/>
      <c r="Y35" s="10"/>
      <c r="Z35" s="10"/>
    </row>
    <row r="36" spans="1:26" ht="30.6" thickTop="1" thickBot="1" x14ac:dyDescent="0.7">
      <c r="A36" s="567">
        <v>26</v>
      </c>
      <c r="B36" s="568" t="s">
        <v>25</v>
      </c>
      <c r="C36" s="348" t="s">
        <v>12</v>
      </c>
      <c r="D36" s="300"/>
      <c r="E36" s="227"/>
      <c r="F36" s="241" t="s">
        <v>91</v>
      </c>
      <c r="G36" s="300"/>
      <c r="H36" s="46">
        <v>8</v>
      </c>
      <c r="I36" s="49" t="s">
        <v>92</v>
      </c>
      <c r="J36" s="301"/>
      <c r="K36" s="227">
        <v>8</v>
      </c>
      <c r="L36" s="566" t="s">
        <v>94</v>
      </c>
      <c r="M36" s="331"/>
      <c r="N36" s="331"/>
      <c r="O36" s="41" t="s">
        <v>90</v>
      </c>
      <c r="P36" s="550" t="s">
        <v>86</v>
      </c>
      <c r="Q36" s="227">
        <v>8</v>
      </c>
      <c r="R36" s="249" t="s">
        <v>47</v>
      </c>
      <c r="S36" s="295"/>
      <c r="T36" s="227"/>
      <c r="V36" s="353"/>
      <c r="W36" s="353"/>
      <c r="X36" s="353"/>
      <c r="Y36" s="10"/>
      <c r="Z36" s="10"/>
    </row>
    <row r="37" spans="1:26" ht="30.6" thickTop="1" thickBot="1" x14ac:dyDescent="0.7">
      <c r="A37" s="559">
        <v>27</v>
      </c>
      <c r="B37" s="44" t="s">
        <v>28</v>
      </c>
      <c r="C37" s="349" t="s">
        <v>90</v>
      </c>
      <c r="D37" s="286"/>
      <c r="E37" s="227">
        <v>8</v>
      </c>
      <c r="F37" s="242" t="s">
        <v>91</v>
      </c>
      <c r="G37" s="286"/>
      <c r="H37" s="39">
        <v>8</v>
      </c>
      <c r="I37" s="43" t="s">
        <v>92</v>
      </c>
      <c r="J37" s="293"/>
      <c r="K37" s="226">
        <v>8</v>
      </c>
      <c r="L37" s="569" t="s">
        <v>94</v>
      </c>
      <c r="M37" s="328"/>
      <c r="N37" s="328"/>
      <c r="O37" s="283" t="s">
        <v>12</v>
      </c>
      <c r="P37" s="551" t="s">
        <v>86</v>
      </c>
      <c r="Q37" s="227"/>
      <c r="R37" s="278" t="s">
        <v>32</v>
      </c>
      <c r="S37" s="284"/>
      <c r="T37" s="324"/>
      <c r="V37" s="353"/>
      <c r="W37" s="353"/>
      <c r="X37" s="353"/>
      <c r="Y37" s="10"/>
      <c r="Z37" s="10"/>
    </row>
    <row r="38" spans="1:26" ht="30.6" thickTop="1" thickBot="1" x14ac:dyDescent="0.7">
      <c r="A38" s="44">
        <v>28</v>
      </c>
      <c r="B38" s="44" t="s">
        <v>31</v>
      </c>
      <c r="C38" s="350" t="s">
        <v>12</v>
      </c>
      <c r="D38" s="286"/>
      <c r="E38" s="227"/>
      <c r="F38" s="242" t="s">
        <v>91</v>
      </c>
      <c r="G38" s="286"/>
      <c r="H38" s="39">
        <v>8</v>
      </c>
      <c r="I38" s="49" t="s">
        <v>92</v>
      </c>
      <c r="J38" s="293"/>
      <c r="K38" s="227">
        <v>8</v>
      </c>
      <c r="L38" s="569" t="s">
        <v>94</v>
      </c>
      <c r="M38" s="328"/>
      <c r="N38" s="328"/>
      <c r="O38" s="248" t="s">
        <v>90</v>
      </c>
      <c r="P38" s="551" t="s">
        <v>86</v>
      </c>
      <c r="Q38" s="227">
        <v>8</v>
      </c>
      <c r="R38" s="246" t="s">
        <v>32</v>
      </c>
      <c r="S38" s="284"/>
      <c r="T38" s="324"/>
      <c r="V38" s="353"/>
      <c r="W38" s="353"/>
      <c r="X38" s="353"/>
      <c r="Y38" s="10"/>
      <c r="Z38" s="10"/>
    </row>
    <row r="39" spans="1:26" ht="27.6" thickTop="1" thickBot="1" x14ac:dyDescent="0.55000000000000004">
      <c r="A39" s="44">
        <v>29</v>
      </c>
      <c r="B39" s="44" t="s">
        <v>35</v>
      </c>
      <c r="C39" s="332" t="s">
        <v>90</v>
      </c>
      <c r="D39" s="284"/>
      <c r="E39" s="227">
        <v>8</v>
      </c>
      <c r="F39" s="241" t="s">
        <v>91</v>
      </c>
      <c r="G39" s="284"/>
      <c r="H39" s="39">
        <v>8</v>
      </c>
      <c r="I39" s="43" t="s">
        <v>92</v>
      </c>
      <c r="J39" s="293"/>
      <c r="K39" s="226">
        <v>8</v>
      </c>
      <c r="L39" s="569" t="s">
        <v>94</v>
      </c>
      <c r="M39" s="328"/>
      <c r="N39" s="328"/>
      <c r="O39" s="362" t="s">
        <v>12</v>
      </c>
      <c r="P39" s="551" t="s">
        <v>86</v>
      </c>
      <c r="Q39" s="227"/>
      <c r="R39" s="250" t="s">
        <v>12</v>
      </c>
      <c r="S39" s="286"/>
      <c r="T39" s="39"/>
      <c r="X39" s="11"/>
      <c r="Y39" s="10"/>
      <c r="Z39" s="10"/>
    </row>
    <row r="40" spans="1:26" ht="27.6" thickTop="1" thickBot="1" x14ac:dyDescent="0.55000000000000004">
      <c r="A40" s="38">
        <v>30</v>
      </c>
      <c r="B40" s="38" t="s">
        <v>11</v>
      </c>
      <c r="C40" s="333" t="s">
        <v>90</v>
      </c>
      <c r="D40" s="297"/>
      <c r="E40" s="238">
        <v>8</v>
      </c>
      <c r="F40" s="251" t="s">
        <v>92</v>
      </c>
      <c r="G40" s="297"/>
      <c r="H40" s="31">
        <v>8</v>
      </c>
      <c r="I40" s="246" t="s">
        <v>12</v>
      </c>
      <c r="J40" s="299"/>
      <c r="K40" s="238"/>
      <c r="L40" s="246" t="s">
        <v>12</v>
      </c>
      <c r="M40" s="298"/>
      <c r="N40" s="17"/>
      <c r="O40" s="261" t="s">
        <v>93</v>
      </c>
      <c r="P40" s="552" t="s">
        <v>86</v>
      </c>
      <c r="Q40" s="238">
        <v>8</v>
      </c>
      <c r="R40" s="259" t="s">
        <v>91</v>
      </c>
      <c r="S40" s="287"/>
      <c r="T40" s="31">
        <v>8</v>
      </c>
      <c r="X40" s="14"/>
      <c r="Y40" s="10"/>
      <c r="Z40" s="10"/>
    </row>
    <row r="41" spans="1:26" ht="27.6" thickTop="1" thickBot="1" x14ac:dyDescent="0.55000000000000004">
      <c r="A41" s="30">
        <v>31</v>
      </c>
      <c r="B41" s="83" t="s">
        <v>19</v>
      </c>
      <c r="C41" s="244" t="s">
        <v>12</v>
      </c>
      <c r="D41" s="303"/>
      <c r="E41" s="225"/>
      <c r="F41" s="244" t="s">
        <v>12</v>
      </c>
      <c r="G41" s="303"/>
      <c r="H41" s="25"/>
      <c r="I41" s="252" t="s">
        <v>92</v>
      </c>
      <c r="J41" s="305"/>
      <c r="K41" s="25">
        <v>8</v>
      </c>
      <c r="L41" s="247" t="s">
        <v>12</v>
      </c>
      <c r="M41" s="304"/>
      <c r="N41" s="25"/>
      <c r="O41" s="351" t="s">
        <v>90</v>
      </c>
      <c r="P41" s="560" t="s">
        <v>86</v>
      </c>
      <c r="Q41" s="239">
        <v>8</v>
      </c>
      <c r="R41" s="257" t="s">
        <v>91</v>
      </c>
      <c r="S41" s="296"/>
      <c r="T41" s="62">
        <v>8</v>
      </c>
      <c r="X41" s="11"/>
      <c r="Y41" s="10"/>
    </row>
    <row r="42" spans="1:26" ht="28.8" thickTop="1" thickBot="1" x14ac:dyDescent="0.55000000000000004">
      <c r="E42" s="263">
        <f>SUM(E11:E41)</f>
        <v>168</v>
      </c>
      <c r="H42" s="263">
        <f>SUM(H11:H41)</f>
        <v>176</v>
      </c>
      <c r="J42"/>
      <c r="K42" s="263">
        <f>SUM(K11:K41)</f>
        <v>160</v>
      </c>
      <c r="N42" s="263">
        <f>SUM(N11:N41)</f>
        <v>32</v>
      </c>
      <c r="Q42" s="263">
        <f>SUM(Q11:Q41)</f>
        <v>192</v>
      </c>
      <c r="T42" s="263">
        <f>SUM(T11:T41)</f>
        <v>152</v>
      </c>
      <c r="X42" s="11"/>
      <c r="Y42" s="10"/>
    </row>
    <row r="43" spans="1:26" ht="26.4" thickTop="1" x14ac:dyDescent="0.5">
      <c r="J43"/>
      <c r="X43" s="11"/>
      <c r="Y43" s="10"/>
    </row>
    <row r="44" spans="1:26" ht="25.8" x14ac:dyDescent="0.5">
      <c r="J44"/>
      <c r="X44" s="11"/>
      <c r="Y44" s="10"/>
    </row>
    <row r="45" spans="1:26" ht="25.8" x14ac:dyDescent="0.5">
      <c r="J45"/>
      <c r="X45" s="11"/>
      <c r="Y45" s="10"/>
    </row>
    <row r="46" spans="1:26" ht="36.6" x14ac:dyDescent="0.5">
      <c r="B46" s="674" t="s">
        <v>97</v>
      </c>
      <c r="C46" s="358" t="s">
        <v>32</v>
      </c>
      <c r="D46" s="358"/>
      <c r="E46" s="358">
        <f>COUNTIF(C11:C41,"FERIE")*8</f>
        <v>0</v>
      </c>
      <c r="F46" s="358" t="s">
        <v>32</v>
      </c>
      <c r="G46" s="358"/>
      <c r="H46" s="358">
        <f>COUNTIF(F11:F41,"FERIE")*8</f>
        <v>0</v>
      </c>
      <c r="I46" s="358" t="s">
        <v>32</v>
      </c>
      <c r="J46" s="359"/>
      <c r="K46" s="358">
        <f>COUNTIF(I11:I41,"FERIE")*8</f>
        <v>0</v>
      </c>
      <c r="L46" s="358" t="s">
        <v>32</v>
      </c>
      <c r="M46" s="358"/>
      <c r="N46" s="358">
        <f>COUNTIF(L11:L41,"FERIE")*8</f>
        <v>0</v>
      </c>
      <c r="O46" s="358" t="s">
        <v>32</v>
      </c>
      <c r="P46" s="358"/>
      <c r="Q46" s="358">
        <f>COUNTIF(O11:O41,"FERIE")*8</f>
        <v>0</v>
      </c>
      <c r="R46" s="358" t="s">
        <v>32</v>
      </c>
      <c r="S46" s="358"/>
      <c r="T46" s="358">
        <f>COUNTIF(R11:R41,"FERIE")*8</f>
        <v>24</v>
      </c>
      <c r="X46" s="11"/>
      <c r="Y46" s="10"/>
    </row>
    <row r="47" spans="1:26" ht="36.6" x14ac:dyDescent="0.5">
      <c r="B47" s="675"/>
      <c r="C47" s="358" t="s">
        <v>55</v>
      </c>
      <c r="D47" s="358"/>
      <c r="E47" s="358">
        <f>COUNTIF(C11:C41,"riposo")</f>
        <v>10</v>
      </c>
      <c r="F47" s="358" t="s">
        <v>55</v>
      </c>
      <c r="G47" s="358"/>
      <c r="H47" s="358">
        <f>COUNTIF(F11:F41,"riposo")</f>
        <v>9</v>
      </c>
      <c r="I47" s="358" t="s">
        <v>55</v>
      </c>
      <c r="J47" s="360"/>
      <c r="K47" s="358">
        <f>COUNTIF(I11:I41,"riposo")</f>
        <v>7</v>
      </c>
      <c r="L47" s="358" t="s">
        <v>55</v>
      </c>
      <c r="M47" s="358"/>
      <c r="N47" s="358">
        <f>COUNTIF(L11:L41,"riposo")</f>
        <v>10</v>
      </c>
      <c r="O47" s="358" t="s">
        <v>55</v>
      </c>
      <c r="P47" s="358"/>
      <c r="Q47" s="358">
        <f>COUNTIF(O11:O41,"riposo")</f>
        <v>5</v>
      </c>
      <c r="R47" s="358" t="s">
        <v>55</v>
      </c>
      <c r="S47" s="358"/>
      <c r="T47" s="358">
        <f>COUNTIF(R11:R41,"riposo")</f>
        <v>8</v>
      </c>
      <c r="X47" s="11"/>
      <c r="Y47" s="10"/>
    </row>
    <row r="48" spans="1:26" ht="36.6" x14ac:dyDescent="0.3">
      <c r="B48" s="675"/>
      <c r="C48" s="358" t="s">
        <v>56</v>
      </c>
      <c r="D48" s="358"/>
      <c r="E48" s="358">
        <f>+E42-E46</f>
        <v>168</v>
      </c>
      <c r="F48" s="358" t="s">
        <v>56</v>
      </c>
      <c r="G48" s="358"/>
      <c r="H48" s="358">
        <f>+H42-H46</f>
        <v>176</v>
      </c>
      <c r="I48" s="358" t="s">
        <v>56</v>
      </c>
      <c r="J48" s="360"/>
      <c r="K48" s="358">
        <f>+K42-K46</f>
        <v>160</v>
      </c>
      <c r="L48" s="358" t="s">
        <v>56</v>
      </c>
      <c r="M48" s="358"/>
      <c r="N48" s="358">
        <f>+N42-N46</f>
        <v>32</v>
      </c>
      <c r="O48" s="358" t="s">
        <v>56</v>
      </c>
      <c r="P48" s="358"/>
      <c r="Q48" s="358">
        <f>+Q42-Q46</f>
        <v>192</v>
      </c>
      <c r="R48" s="358" t="s">
        <v>56</v>
      </c>
      <c r="S48" s="358"/>
      <c r="T48" s="358">
        <v>152</v>
      </c>
    </row>
    <row r="49" spans="2:20" ht="36.6" x14ac:dyDescent="0.3">
      <c r="B49" s="675"/>
      <c r="C49" s="358" t="s">
        <v>88</v>
      </c>
      <c r="D49" s="360"/>
      <c r="E49" s="358">
        <f>COUNTIF(D11:D41,"R")</f>
        <v>0</v>
      </c>
      <c r="F49" s="358" t="s">
        <v>88</v>
      </c>
      <c r="G49" s="360"/>
      <c r="H49" s="358">
        <f>COUNTIF(G11:G41,"R")</f>
        <v>0</v>
      </c>
      <c r="I49" s="358" t="s">
        <v>88</v>
      </c>
      <c r="J49" s="360"/>
      <c r="K49" s="358">
        <f>COUNTIF(J11:J41,"R")</f>
        <v>11</v>
      </c>
      <c r="L49" s="358" t="s">
        <v>88</v>
      </c>
      <c r="M49" s="360"/>
      <c r="N49" s="358">
        <f>COUNTIF(M11:M41,"R")</f>
        <v>0</v>
      </c>
      <c r="O49" s="358" t="s">
        <v>88</v>
      </c>
      <c r="P49" s="360"/>
      <c r="Q49" s="358">
        <f>COUNTIF(P11:P41,"R")</f>
        <v>20</v>
      </c>
      <c r="R49" s="358" t="s">
        <v>88</v>
      </c>
      <c r="S49" s="360"/>
      <c r="T49" s="358">
        <f>COUNTIF(S11:S41,"R")</f>
        <v>0</v>
      </c>
    </row>
    <row r="50" spans="2:20" ht="36.6" x14ac:dyDescent="0.3">
      <c r="B50" s="675"/>
      <c r="C50" s="358" t="s">
        <v>98</v>
      </c>
      <c r="D50" s="360"/>
      <c r="E50" s="358">
        <f>COUNTIF(C11:C41,"22*")</f>
        <v>4</v>
      </c>
      <c r="F50" s="358" t="s">
        <v>98</v>
      </c>
      <c r="G50" s="360"/>
      <c r="H50" s="358">
        <f>COUNTIF(F11:F41,"2*")</f>
        <v>8</v>
      </c>
      <c r="I50" s="358" t="s">
        <v>98</v>
      </c>
      <c r="J50" s="360"/>
      <c r="K50" s="358">
        <f>COUNTIF(I11:I41,"2*")</f>
        <v>9</v>
      </c>
      <c r="L50" s="358" t="s">
        <v>98</v>
      </c>
      <c r="M50" s="360"/>
      <c r="N50" s="358">
        <f>COUNTIF(L11:L41,"2*")</f>
        <v>1</v>
      </c>
      <c r="O50" s="358" t="s">
        <v>98</v>
      </c>
      <c r="P50" s="360"/>
      <c r="Q50" s="358">
        <f>COUNTIF(O11:O41,"2*")</f>
        <v>2</v>
      </c>
      <c r="R50" s="358" t="s">
        <v>98</v>
      </c>
      <c r="S50" s="360"/>
      <c r="T50" s="358">
        <f>COUNTIF(R11:R41,"2*")</f>
        <v>7</v>
      </c>
    </row>
    <row r="51" spans="2:20" ht="36.6" x14ac:dyDescent="0.3">
      <c r="B51" s="675"/>
      <c r="C51" s="358" t="s">
        <v>99</v>
      </c>
      <c r="D51" s="360"/>
      <c r="E51" s="358">
        <f>(COUNTIF(C11:C41,"malattia"))*8</f>
        <v>0</v>
      </c>
      <c r="F51" s="358" t="s">
        <v>99</v>
      </c>
      <c r="G51" s="360"/>
      <c r="H51" s="358">
        <f>(COUNTIF(F11:F41,"malattia"))*8</f>
        <v>0</v>
      </c>
      <c r="I51" s="358" t="s">
        <v>99</v>
      </c>
      <c r="J51" s="360"/>
      <c r="K51" s="358">
        <f>(COUNTIF(I11:I41,"malattia"))*8</f>
        <v>16</v>
      </c>
      <c r="L51" s="358" t="s">
        <v>99</v>
      </c>
      <c r="M51" s="360"/>
      <c r="N51" s="358">
        <f>(COUNTIF(L11:L41,"malattia"))*8</f>
        <v>136</v>
      </c>
      <c r="O51" s="358" t="s">
        <v>99</v>
      </c>
      <c r="P51" s="360"/>
      <c r="Q51" s="358">
        <f>(COUNTIF(O11:O41,"malattia"))*8</f>
        <v>0</v>
      </c>
      <c r="R51" s="358" t="s">
        <v>99</v>
      </c>
      <c r="S51" s="360"/>
      <c r="T51" s="358">
        <f>(COUNTIF(R11:R41,"malattia"))*8</f>
        <v>0</v>
      </c>
    </row>
    <row r="52" spans="2:20" ht="37.200000000000003" thickBot="1" x14ac:dyDescent="0.35">
      <c r="B52" s="676"/>
      <c r="C52" s="361" t="s">
        <v>100</v>
      </c>
      <c r="D52" s="361"/>
      <c r="E52" s="361">
        <f>+E42-$B$54</f>
        <v>-8</v>
      </c>
      <c r="F52" s="361"/>
      <c r="G52" s="361"/>
      <c r="H52" s="361">
        <f>+H42-$B$54</f>
        <v>0</v>
      </c>
      <c r="I52" s="361"/>
      <c r="J52" s="361"/>
      <c r="K52" s="361">
        <f>+K42-$B$54</f>
        <v>-16</v>
      </c>
      <c r="L52" s="361"/>
      <c r="M52" s="361"/>
      <c r="N52" s="361">
        <f>+N42-$B$54</f>
        <v>-144</v>
      </c>
      <c r="O52" s="361"/>
      <c r="P52" s="361"/>
      <c r="Q52" s="361">
        <f>+Q42-$B$54</f>
        <v>16</v>
      </c>
      <c r="R52" s="361"/>
      <c r="S52" s="361"/>
      <c r="T52" s="361">
        <f>+T42-$B$54</f>
        <v>-24</v>
      </c>
    </row>
    <row r="53" spans="2:20" ht="37.799999999999997" thickTop="1" thickBot="1" x14ac:dyDescent="0.35">
      <c r="B53" s="356">
        <f>+E42+H42+K42+N42+Q42+T42</f>
        <v>880</v>
      </c>
      <c r="J53"/>
    </row>
    <row r="54" spans="2:20" ht="37.200000000000003" thickTop="1" x14ac:dyDescent="0.7">
      <c r="B54" s="357">
        <f>((COUNTA($B$11:$B$41)*8)-(9*8))</f>
        <v>176</v>
      </c>
    </row>
  </sheetData>
  <sheetProtection formatCells="0" formatColumns="0" formatRows="0" insertColumns="0" insertRows="0" insertHyperlinks="0" deleteColumns="0" deleteRows="0" sort="0" autoFilter="0" pivotTables="0"/>
  <mergeCells count="25">
    <mergeCell ref="A5:T5"/>
    <mergeCell ref="A6:B8"/>
    <mergeCell ref="C6:T6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B46:B52"/>
    <mergeCell ref="N7:N8"/>
    <mergeCell ref="X16:Y16"/>
    <mergeCell ref="P7:P8"/>
    <mergeCell ref="Q7:Q8"/>
    <mergeCell ref="R7:R8"/>
    <mergeCell ref="S7:S8"/>
    <mergeCell ref="T7:T8"/>
    <mergeCell ref="X15:Y15"/>
    <mergeCell ref="W21:X21"/>
    <mergeCell ref="O7:O8"/>
  </mergeCells>
  <conditionalFormatting sqref="E52:T52">
    <cfRule type="cellIs" dxfId="9" priority="1" operator="greaterThan">
      <formula>0</formula>
    </cfRule>
    <cfRule type="cellIs" dxfId="8" priority="2" operator="lessThan">
      <formula>0</formula>
    </cfRule>
  </conditionalFormatting>
  <hyperlinks>
    <hyperlink ref="W21:X21" r:id="rId1" display="OPERAI RAI cartellini ore 2022.xlsx" xr:uid="{00000000-0004-0000-0500-000000000000}"/>
  </hyperlinks>
  <pageMargins left="0.70866141732283461" right="0" top="0" bottom="0.39370078740157483" header="0" footer="0.31496062992125984"/>
  <pageSetup paperSize="8" scale="47" orientation="landscape" r:id="rId2"/>
  <colBreaks count="1" manualBreakCount="1">
    <brk id="21" max="1048575" man="1"/>
  </colBrea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H30"/>
  <sheetViews>
    <sheetView zoomScale="85" zoomScaleNormal="85" workbookViewId="0">
      <selection activeCell="B14" sqref="B14"/>
    </sheetView>
  </sheetViews>
  <sheetFormatPr defaultRowHeight="14.4" x14ac:dyDescent="0.3"/>
  <cols>
    <col min="1" max="1" width="105.6640625" customWidth="1"/>
    <col min="2" max="6" width="10.6640625" customWidth="1"/>
    <col min="7" max="7" width="30.6640625" customWidth="1"/>
  </cols>
  <sheetData>
    <row r="1" spans="1:8" x14ac:dyDescent="0.3">
      <c r="A1" s="493"/>
      <c r="B1" s="493"/>
      <c r="C1" s="493"/>
      <c r="D1" s="493"/>
      <c r="E1" s="493"/>
      <c r="F1" s="493"/>
      <c r="G1" s="493"/>
      <c r="H1" s="493"/>
    </row>
    <row r="2" spans="1:8" x14ac:dyDescent="0.3">
      <c r="A2" s="493"/>
      <c r="B2" s="493"/>
      <c r="C2" s="493"/>
      <c r="D2" s="493"/>
      <c r="E2" s="493"/>
      <c r="F2" s="493"/>
      <c r="G2" s="493"/>
      <c r="H2" s="493"/>
    </row>
    <row r="3" spans="1:8" x14ac:dyDescent="0.3">
      <c r="A3" s="493"/>
      <c r="B3" s="493"/>
      <c r="C3" s="493"/>
      <c r="D3" s="493"/>
      <c r="E3" s="493"/>
      <c r="F3" s="493"/>
      <c r="G3" s="493"/>
      <c r="H3" s="493"/>
    </row>
    <row r="4" spans="1:8" x14ac:dyDescent="0.3">
      <c r="A4" s="493"/>
      <c r="B4" s="493"/>
      <c r="C4" s="493"/>
      <c r="D4" s="493"/>
      <c r="E4" s="493"/>
      <c r="F4" s="493"/>
      <c r="G4" s="493"/>
      <c r="H4" s="493"/>
    </row>
    <row r="5" spans="1:8" x14ac:dyDescent="0.3">
      <c r="A5" s="493"/>
      <c r="B5" s="493"/>
      <c r="C5" s="493"/>
      <c r="D5" s="493"/>
      <c r="E5" s="493"/>
      <c r="F5" s="493"/>
      <c r="G5" s="493"/>
      <c r="H5" s="493"/>
    </row>
    <row r="6" spans="1:8" x14ac:dyDescent="0.3">
      <c r="A6" s="493"/>
      <c r="B6" s="493"/>
      <c r="C6" s="493"/>
      <c r="D6" s="493"/>
      <c r="E6" s="493"/>
      <c r="F6" s="493"/>
      <c r="G6" s="493"/>
      <c r="H6" s="493"/>
    </row>
    <row r="7" spans="1:8" x14ac:dyDescent="0.3">
      <c r="A7" s="494" t="s">
        <v>101</v>
      </c>
      <c r="B7" s="495"/>
      <c r="C7" s="495"/>
      <c r="D7" s="495"/>
      <c r="E7" s="495"/>
      <c r="F7" s="495"/>
      <c r="G7" s="495"/>
      <c r="H7" s="493"/>
    </row>
    <row r="8" spans="1:8" x14ac:dyDescent="0.3">
      <c r="A8" s="495" t="s">
        <v>102</v>
      </c>
      <c r="B8" s="496">
        <v>18.3</v>
      </c>
      <c r="C8" s="495"/>
      <c r="D8" s="495"/>
      <c r="E8" s="495"/>
      <c r="F8" s="495"/>
      <c r="G8" s="495"/>
      <c r="H8" s="493"/>
    </row>
    <row r="9" spans="1:8" x14ac:dyDescent="0.3">
      <c r="A9" s="495" t="s">
        <v>103</v>
      </c>
      <c r="B9" s="496"/>
      <c r="C9" s="495"/>
      <c r="D9" s="495"/>
      <c r="E9" s="495"/>
      <c r="F9" s="495"/>
      <c r="G9" s="495"/>
      <c r="H9" s="493"/>
    </row>
    <row r="10" spans="1:8" x14ac:dyDescent="0.3">
      <c r="A10" s="495" t="s">
        <v>104</v>
      </c>
      <c r="B10" s="497">
        <v>0.26500000000000001</v>
      </c>
      <c r="C10" s="495"/>
      <c r="D10" s="495"/>
      <c r="E10" s="495"/>
      <c r="F10" s="496"/>
      <c r="G10" s="495"/>
      <c r="H10" s="493"/>
    </row>
    <row r="11" spans="1:8" x14ac:dyDescent="0.3">
      <c r="A11" s="495" t="s">
        <v>105</v>
      </c>
      <c r="B11" s="496">
        <f>B8*1.265</f>
        <v>23.1495</v>
      </c>
      <c r="C11" s="495"/>
      <c r="D11" s="495"/>
      <c r="E11" s="495"/>
      <c r="F11" s="495"/>
      <c r="G11" s="495"/>
      <c r="H11" s="493"/>
    </row>
    <row r="12" spans="1:8" x14ac:dyDescent="0.3">
      <c r="A12" s="495" t="s">
        <v>106</v>
      </c>
      <c r="B12" s="498">
        <v>0.31</v>
      </c>
      <c r="C12" s="495"/>
      <c r="D12" s="495"/>
      <c r="E12" s="495"/>
      <c r="F12" s="495"/>
      <c r="G12" s="495"/>
      <c r="H12" s="493"/>
    </row>
    <row r="13" spans="1:8" x14ac:dyDescent="0.3">
      <c r="A13" s="495" t="s">
        <v>107</v>
      </c>
      <c r="B13" s="496">
        <f>18.3*0.265*0.69</f>
        <v>3.3461550000000004</v>
      </c>
      <c r="C13" s="495"/>
      <c r="D13" s="495"/>
      <c r="E13" s="495"/>
      <c r="F13" s="495"/>
      <c r="G13" s="495"/>
      <c r="H13" s="493"/>
    </row>
    <row r="14" spans="1:8" x14ac:dyDescent="0.3">
      <c r="A14" s="495" t="s">
        <v>108</v>
      </c>
      <c r="B14" s="499">
        <f>B8+B13</f>
        <v>21.646155</v>
      </c>
      <c r="C14" s="495"/>
      <c r="D14" s="495"/>
      <c r="E14" s="495"/>
      <c r="F14" s="495"/>
      <c r="G14" s="495"/>
      <c r="H14" s="493"/>
    </row>
    <row r="15" spans="1:8" ht="15" thickBot="1" x14ac:dyDescent="0.35">
      <c r="A15" s="495"/>
      <c r="B15" s="495"/>
      <c r="C15" s="495"/>
      <c r="D15" s="495"/>
      <c r="E15" s="495"/>
      <c r="F15" s="495"/>
      <c r="G15" s="495"/>
      <c r="H15" s="493"/>
    </row>
    <row r="16" spans="1:8" ht="21" thickBot="1" x14ac:dyDescent="0.4">
      <c r="A16" s="680" t="s">
        <v>109</v>
      </c>
      <c r="B16" s="681"/>
      <c r="C16" s="681"/>
      <c r="D16" s="681"/>
      <c r="E16" s="681"/>
      <c r="F16" s="681"/>
      <c r="G16" s="682"/>
      <c r="H16" s="493"/>
    </row>
    <row r="17" spans="1:8" x14ac:dyDescent="0.3">
      <c r="A17" s="532" t="s">
        <v>110</v>
      </c>
      <c r="B17" s="501"/>
      <c r="C17" s="501"/>
      <c r="D17" s="501"/>
      <c r="E17" s="501"/>
      <c r="F17" s="501"/>
      <c r="G17" s="502"/>
      <c r="H17" s="493"/>
    </row>
    <row r="18" spans="1:8" x14ac:dyDescent="0.3">
      <c r="A18" s="533" t="s">
        <v>111</v>
      </c>
      <c r="B18" s="518"/>
      <c r="C18" s="518"/>
      <c r="D18" s="518"/>
      <c r="E18" s="518"/>
      <c r="F18" s="518"/>
      <c r="G18" s="519"/>
      <c r="H18" s="493"/>
    </row>
    <row r="19" spans="1:8" x14ac:dyDescent="0.3">
      <c r="A19" s="503" t="s">
        <v>112</v>
      </c>
      <c r="B19" s="504"/>
      <c r="C19" s="504"/>
      <c r="D19" s="504"/>
      <c r="E19" s="505"/>
      <c r="F19" s="504"/>
      <c r="G19" s="506" t="s">
        <v>113</v>
      </c>
      <c r="H19" s="493"/>
    </row>
    <row r="20" spans="1:8" x14ac:dyDescent="0.3">
      <c r="A20" s="507" t="s">
        <v>3</v>
      </c>
      <c r="B20" s="508"/>
      <c r="C20" s="509"/>
      <c r="D20" s="510"/>
      <c r="E20" s="511"/>
      <c r="F20" s="512"/>
      <c r="G20" s="513">
        <f>'LUG 2026 consuntivo'!G63</f>
        <v>0</v>
      </c>
      <c r="H20" s="493"/>
    </row>
    <row r="21" spans="1:8" x14ac:dyDescent="0.3">
      <c r="A21" s="514" t="s">
        <v>45</v>
      </c>
      <c r="B21" s="508"/>
      <c r="C21" s="509"/>
      <c r="D21" s="510"/>
      <c r="E21" s="511"/>
      <c r="F21" s="512"/>
      <c r="G21" s="513">
        <f>'AGO 2026 consuntivo'!G63</f>
        <v>0</v>
      </c>
      <c r="H21" s="493"/>
    </row>
    <row r="22" spans="1:8" ht="15" thickBot="1" x14ac:dyDescent="0.35">
      <c r="A22" s="520" t="s">
        <v>114</v>
      </c>
      <c r="B22" s="521"/>
      <c r="C22" s="534"/>
      <c r="D22" s="535"/>
      <c r="E22" s="536"/>
      <c r="F22" s="537"/>
      <c r="G22" s="523">
        <f>'SET 2026 consuntivo '!G62</f>
        <v>0</v>
      </c>
      <c r="H22" s="493"/>
    </row>
    <row r="23" spans="1:8" ht="15" thickBot="1" x14ac:dyDescent="0.35">
      <c r="A23" s="495"/>
      <c r="B23" s="495"/>
      <c r="C23" s="495"/>
      <c r="D23" s="495"/>
      <c r="E23" s="495"/>
      <c r="F23" s="495"/>
      <c r="G23" s="495"/>
      <c r="H23" s="493"/>
    </row>
    <row r="24" spans="1:8" ht="15.6" thickTop="1" thickBot="1" x14ac:dyDescent="0.35">
      <c r="A24" s="495"/>
      <c r="B24" s="495"/>
      <c r="C24" s="495"/>
      <c r="D24" s="495"/>
      <c r="E24" s="495"/>
      <c r="F24" s="527" t="s">
        <v>115</v>
      </c>
      <c r="G24" s="517">
        <f>SUM(G20:G22)</f>
        <v>0</v>
      </c>
      <c r="H24" s="529" t="s">
        <v>116</v>
      </c>
    </row>
    <row r="25" spans="1:8" ht="15" thickTop="1" x14ac:dyDescent="0.3"/>
    <row r="30" spans="1:8" x14ac:dyDescent="0.3">
      <c r="F30" s="542" t="s">
        <v>117</v>
      </c>
    </row>
  </sheetData>
  <mergeCells count="1">
    <mergeCell ref="A16:G16"/>
  </mergeCells>
  <pageMargins left="0.7" right="0.7" top="0.75" bottom="0.75" header="0.3" footer="0.3"/>
  <pageSetup paperSize="8" scale="9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I64"/>
  <sheetViews>
    <sheetView tabSelected="1" zoomScale="70" zoomScaleNormal="70" workbookViewId="0">
      <selection activeCell="I28" sqref="I28"/>
    </sheetView>
  </sheetViews>
  <sheetFormatPr defaultRowHeight="14.4" x14ac:dyDescent="0.3"/>
  <cols>
    <col min="1" max="1" width="103" customWidth="1"/>
    <col min="2" max="2" width="8.33203125" bestFit="1" customWidth="1"/>
    <col min="5" max="5" width="16.33203125" customWidth="1"/>
    <col min="6" max="6" width="20.33203125" bestFit="1" customWidth="1"/>
    <col min="7" max="7" width="17.44140625" bestFit="1" customWidth="1"/>
  </cols>
  <sheetData>
    <row r="1" spans="1:8" x14ac:dyDescent="0.3">
      <c r="A1" s="493"/>
      <c r="B1" s="493"/>
      <c r="C1" s="493"/>
      <c r="D1" s="493"/>
      <c r="E1" s="493"/>
      <c r="F1" s="493"/>
      <c r="G1" s="493"/>
      <c r="H1" s="493"/>
    </row>
    <row r="2" spans="1:8" x14ac:dyDescent="0.3">
      <c r="A2" s="493"/>
      <c r="B2" s="493"/>
      <c r="C2" s="493"/>
      <c r="D2" s="493"/>
      <c r="E2" s="493"/>
      <c r="F2" s="493"/>
      <c r="G2" s="493"/>
      <c r="H2" s="493"/>
    </row>
    <row r="3" spans="1:8" x14ac:dyDescent="0.3">
      <c r="A3" s="493"/>
      <c r="B3" s="493"/>
      <c r="C3" s="493"/>
      <c r="D3" s="493"/>
      <c r="E3" s="493"/>
      <c r="F3" s="493"/>
      <c r="G3" s="493"/>
      <c r="H3" s="493"/>
    </row>
    <row r="4" spans="1:8" x14ac:dyDescent="0.3">
      <c r="A4" s="493"/>
      <c r="B4" s="493"/>
      <c r="C4" s="493"/>
      <c r="D4" s="493"/>
      <c r="E4" s="493"/>
      <c r="F4" s="493"/>
      <c r="G4" s="493"/>
      <c r="H4" s="493"/>
    </row>
    <row r="5" spans="1:8" x14ac:dyDescent="0.3">
      <c r="A5" s="493"/>
      <c r="B5" s="493"/>
      <c r="C5" s="493"/>
      <c r="D5" s="493"/>
      <c r="E5" s="493"/>
      <c r="F5" s="493"/>
      <c r="G5" s="493"/>
      <c r="H5" s="493"/>
    </row>
    <row r="6" spans="1:8" x14ac:dyDescent="0.3">
      <c r="A6" s="493"/>
      <c r="B6" s="493"/>
      <c r="C6" s="493"/>
      <c r="D6" s="493"/>
      <c r="E6" s="493"/>
      <c r="F6" s="493"/>
      <c r="G6" s="493"/>
      <c r="H6" s="493"/>
    </row>
    <row r="7" spans="1:8" x14ac:dyDescent="0.3">
      <c r="A7" s="494" t="s">
        <v>101</v>
      </c>
      <c r="B7" s="495"/>
      <c r="C7" s="495"/>
      <c r="D7" s="495"/>
      <c r="E7" s="495"/>
      <c r="F7" s="495"/>
      <c r="G7" s="495"/>
      <c r="H7" s="493"/>
    </row>
    <row r="8" spans="1:8" x14ac:dyDescent="0.3">
      <c r="A8" s="495" t="s">
        <v>102</v>
      </c>
      <c r="B8" s="496">
        <v>18.3</v>
      </c>
      <c r="C8" s="495"/>
      <c r="D8" s="495"/>
      <c r="E8" s="495"/>
      <c r="F8" s="495"/>
      <c r="G8" s="495"/>
      <c r="H8" s="493"/>
    </row>
    <row r="9" spans="1:8" x14ac:dyDescent="0.3">
      <c r="A9" s="495" t="s">
        <v>103</v>
      </c>
      <c r="B9" s="496"/>
      <c r="C9" s="495"/>
      <c r="D9" s="495"/>
      <c r="E9" s="495"/>
      <c r="F9" s="495"/>
      <c r="G9" s="495"/>
      <c r="H9" s="493"/>
    </row>
    <row r="10" spans="1:8" x14ac:dyDescent="0.3">
      <c r="A10" s="495" t="s">
        <v>104</v>
      </c>
      <c r="B10" s="497">
        <v>0.26500000000000001</v>
      </c>
      <c r="C10" s="495"/>
      <c r="D10" s="495"/>
      <c r="E10" s="495"/>
      <c r="F10" s="496"/>
      <c r="G10" s="495"/>
      <c r="H10" s="493"/>
    </row>
    <row r="11" spans="1:8" x14ac:dyDescent="0.3">
      <c r="A11" s="495" t="s">
        <v>105</v>
      </c>
      <c r="B11" s="496">
        <f>B8*1.265</f>
        <v>23.1495</v>
      </c>
      <c r="C11" s="495"/>
      <c r="D11" s="495"/>
      <c r="E11" s="495"/>
      <c r="F11" s="495"/>
      <c r="G11" s="495"/>
      <c r="H11" s="493"/>
    </row>
    <row r="12" spans="1:8" x14ac:dyDescent="0.3">
      <c r="A12" s="495" t="s">
        <v>106</v>
      </c>
      <c r="B12" s="498">
        <v>0.31</v>
      </c>
      <c r="C12" s="495"/>
      <c r="D12" s="495"/>
      <c r="E12" s="495"/>
      <c r="F12" s="495"/>
      <c r="G12" s="495"/>
      <c r="H12" s="493"/>
    </row>
    <row r="13" spans="1:8" x14ac:dyDescent="0.3">
      <c r="A13" s="495" t="s">
        <v>107</v>
      </c>
      <c r="B13" s="496">
        <f>18.3*0.265*0.69</f>
        <v>3.3461550000000004</v>
      </c>
      <c r="C13" s="495"/>
      <c r="D13" s="495"/>
      <c r="E13" s="495"/>
      <c r="F13" s="495"/>
      <c r="G13" s="495"/>
      <c r="H13" s="493"/>
    </row>
    <row r="14" spans="1:8" x14ac:dyDescent="0.3">
      <c r="A14" s="495" t="s">
        <v>108</v>
      </c>
      <c r="B14" s="499">
        <f>B8+B13</f>
        <v>21.646155</v>
      </c>
      <c r="C14" s="495"/>
      <c r="D14" s="495"/>
      <c r="E14" s="495"/>
      <c r="F14" s="495"/>
      <c r="G14" s="495"/>
      <c r="H14" s="493"/>
    </row>
    <row r="15" spans="1:8" x14ac:dyDescent="0.3">
      <c r="A15" s="495"/>
      <c r="B15" s="530"/>
      <c r="C15" s="495"/>
      <c r="D15" s="495"/>
      <c r="E15" s="495"/>
      <c r="F15" s="495"/>
      <c r="G15" s="495"/>
      <c r="H15" s="493"/>
    </row>
    <row r="16" spans="1:8" ht="21" thickBot="1" x14ac:dyDescent="0.4">
      <c r="A16" s="608" t="s">
        <v>118</v>
      </c>
      <c r="B16" s="609"/>
      <c r="C16" s="609"/>
      <c r="D16" s="609"/>
      <c r="E16" s="609"/>
      <c r="F16" s="609"/>
      <c r="G16" s="609"/>
      <c r="H16" s="493"/>
    </row>
    <row r="17" spans="1:9" x14ac:dyDescent="0.3">
      <c r="A17" s="500" t="s">
        <v>119</v>
      </c>
      <c r="B17" s="501"/>
      <c r="C17" s="501"/>
      <c r="D17" s="501"/>
      <c r="E17" s="501"/>
      <c r="F17" s="501"/>
      <c r="G17" s="502"/>
      <c r="H17" s="493"/>
    </row>
    <row r="18" spans="1:9" ht="28.2" x14ac:dyDescent="0.3">
      <c r="A18" s="503" t="s">
        <v>120</v>
      </c>
      <c r="B18" s="504" t="s">
        <v>121</v>
      </c>
      <c r="C18" s="504" t="s">
        <v>122</v>
      </c>
      <c r="D18" s="504" t="s">
        <v>123</v>
      </c>
      <c r="E18" s="505" t="s">
        <v>124</v>
      </c>
      <c r="F18" s="504" t="s">
        <v>125</v>
      </c>
      <c r="G18" s="506" t="s">
        <v>113</v>
      </c>
      <c r="H18" s="493"/>
      <c r="I18" s="531" t="s">
        <v>126</v>
      </c>
    </row>
    <row r="19" spans="1:9" x14ac:dyDescent="0.3">
      <c r="A19" s="507" t="s">
        <v>127</v>
      </c>
      <c r="B19" s="508">
        <v>2.5</v>
      </c>
      <c r="C19" s="509"/>
      <c r="D19" s="510">
        <f>B19*C19</f>
        <v>0</v>
      </c>
      <c r="E19" s="511"/>
      <c r="F19" s="512">
        <f>18.3*1.265-(18.3*0.265*0.31)</f>
        <v>21.646155</v>
      </c>
      <c r="G19" s="513">
        <f>D19*F19</f>
        <v>0</v>
      </c>
      <c r="H19" s="493"/>
      <c r="I19" s="542" t="s">
        <v>128</v>
      </c>
    </row>
    <row r="20" spans="1:9" x14ac:dyDescent="0.3">
      <c r="A20" s="514" t="s">
        <v>129</v>
      </c>
      <c r="B20" s="508">
        <v>5.5</v>
      </c>
      <c r="C20" s="509"/>
      <c r="D20" s="510">
        <f>B20*C20</f>
        <v>0</v>
      </c>
      <c r="E20" s="511">
        <v>0.3</v>
      </c>
      <c r="F20" s="512">
        <f>18.3*1.3*1.265-(18.3*1.3*0.265*0.31)</f>
        <v>28.1400015</v>
      </c>
      <c r="G20" s="513">
        <f>D20*F20</f>
        <v>0</v>
      </c>
      <c r="H20" s="493"/>
      <c r="I20" s="542" t="s">
        <v>128</v>
      </c>
    </row>
    <row r="21" spans="1:9" ht="15" thickBot="1" x14ac:dyDescent="0.35">
      <c r="A21" s="507" t="s">
        <v>130</v>
      </c>
      <c r="B21" s="508">
        <v>8</v>
      </c>
      <c r="C21" s="509"/>
      <c r="D21" s="508">
        <f>B21*C21</f>
        <v>0</v>
      </c>
      <c r="E21" s="511">
        <v>0.5</v>
      </c>
      <c r="F21" s="512">
        <f>18.3*1.5*1.265-(18.3*1.5*0.265*0.31)</f>
        <v>32.469232499999997</v>
      </c>
      <c r="G21" s="513">
        <f>D21*F21</f>
        <v>0</v>
      </c>
      <c r="H21" s="493"/>
      <c r="I21" s="542" t="s">
        <v>131</v>
      </c>
    </row>
    <row r="22" spans="1:9" ht="15.6" thickTop="1" thickBot="1" x14ac:dyDescent="0.35">
      <c r="A22" s="507"/>
      <c r="B22" s="508"/>
      <c r="C22" s="515"/>
      <c r="D22" s="570">
        <f>SUM(D19:D21)</f>
        <v>0</v>
      </c>
      <c r="E22" s="516"/>
      <c r="F22" s="515"/>
      <c r="G22" s="517">
        <f>SUM(G19:G21)</f>
        <v>0</v>
      </c>
      <c r="H22" s="493"/>
    </row>
    <row r="23" spans="1:9" x14ac:dyDescent="0.3">
      <c r="A23" s="507"/>
      <c r="B23" s="508"/>
      <c r="C23" s="508"/>
      <c r="D23" s="518"/>
      <c r="E23" s="508"/>
      <c r="F23" s="508"/>
      <c r="G23" s="519"/>
      <c r="H23" s="493"/>
    </row>
    <row r="24" spans="1:9" ht="15" thickBot="1" x14ac:dyDescent="0.35">
      <c r="A24" s="520"/>
      <c r="B24" s="521"/>
      <c r="C24" s="521"/>
      <c r="D24" s="521"/>
      <c r="E24" s="521"/>
      <c r="F24" s="522"/>
      <c r="G24" s="523"/>
      <c r="H24" s="493"/>
    </row>
    <row r="25" spans="1:9" ht="15" thickBot="1" x14ac:dyDescent="0.35">
      <c r="A25" s="495"/>
      <c r="B25" s="495"/>
      <c r="C25" s="495"/>
      <c r="D25" s="495"/>
      <c r="E25" s="495"/>
      <c r="F25" s="495"/>
      <c r="G25" s="495"/>
      <c r="H25" s="493"/>
    </row>
    <row r="26" spans="1:9" x14ac:dyDescent="0.3">
      <c r="A26" s="500" t="s">
        <v>111</v>
      </c>
      <c r="B26" s="501"/>
      <c r="C26" s="501"/>
      <c r="D26" s="501"/>
      <c r="E26" s="501"/>
      <c r="F26" s="501"/>
      <c r="G26" s="502"/>
      <c r="H26" s="493"/>
    </row>
    <row r="27" spans="1:9" ht="28.2" x14ac:dyDescent="0.3">
      <c r="A27" s="503" t="s">
        <v>120</v>
      </c>
      <c r="B27" s="504" t="s">
        <v>121</v>
      </c>
      <c r="C27" s="504" t="s">
        <v>132</v>
      </c>
      <c r="D27" s="518"/>
      <c r="E27" s="505" t="s">
        <v>124</v>
      </c>
      <c r="F27" s="504" t="s">
        <v>125</v>
      </c>
      <c r="G27" s="506" t="s">
        <v>113</v>
      </c>
      <c r="H27" s="493"/>
    </row>
    <row r="28" spans="1:9" x14ac:dyDescent="0.3">
      <c r="A28" s="514" t="s">
        <v>133</v>
      </c>
      <c r="B28" s="508"/>
      <c r="C28" s="508"/>
      <c r="D28" s="508"/>
      <c r="E28" s="508"/>
      <c r="F28" s="508"/>
      <c r="G28" s="506"/>
      <c r="H28" s="493"/>
    </row>
    <row r="29" spans="1:9" x14ac:dyDescent="0.3">
      <c r="A29" s="525"/>
      <c r="B29" s="508"/>
      <c r="C29" s="524">
        <v>46204</v>
      </c>
      <c r="D29" s="518"/>
      <c r="E29" s="511" t="s">
        <v>134</v>
      </c>
      <c r="F29" s="512">
        <f t="shared" ref="F29:F59" si="0">18.3*1.265-(18.3*0.265*0.31)</f>
        <v>21.646155</v>
      </c>
      <c r="G29" s="513">
        <f>B28*F29</f>
        <v>0</v>
      </c>
      <c r="H29" s="493"/>
    </row>
    <row r="30" spans="1:9" x14ac:dyDescent="0.3">
      <c r="A30" s="525"/>
      <c r="B30" s="508"/>
      <c r="C30" s="524">
        <v>46205</v>
      </c>
      <c r="D30" s="518"/>
      <c r="E30" s="511" t="s">
        <v>134</v>
      </c>
      <c r="F30" s="512">
        <f t="shared" si="0"/>
        <v>21.646155</v>
      </c>
      <c r="G30" s="513">
        <f t="shared" ref="G30:G59" si="1">B30*F30</f>
        <v>0</v>
      </c>
      <c r="H30" s="493"/>
    </row>
    <row r="31" spans="1:9" x14ac:dyDescent="0.3">
      <c r="A31" s="525"/>
      <c r="B31" s="508"/>
      <c r="C31" s="524">
        <v>46206</v>
      </c>
      <c r="D31" s="518"/>
      <c r="E31" s="511" t="s">
        <v>134</v>
      </c>
      <c r="F31" s="512">
        <f t="shared" si="0"/>
        <v>21.646155</v>
      </c>
      <c r="G31" s="513">
        <f t="shared" si="1"/>
        <v>0</v>
      </c>
      <c r="H31" s="493"/>
    </row>
    <row r="32" spans="1:9" x14ac:dyDescent="0.3">
      <c r="A32" s="525"/>
      <c r="B32" s="508"/>
      <c r="C32" s="524">
        <v>46207</v>
      </c>
      <c r="D32" s="518"/>
      <c r="E32" s="511" t="s">
        <v>134</v>
      </c>
      <c r="F32" s="512">
        <f t="shared" si="0"/>
        <v>21.646155</v>
      </c>
      <c r="G32" s="513">
        <f t="shared" si="1"/>
        <v>0</v>
      </c>
      <c r="H32" s="493"/>
    </row>
    <row r="33" spans="1:8" x14ac:dyDescent="0.3">
      <c r="A33" s="525"/>
      <c r="B33" s="508"/>
      <c r="C33" s="524">
        <v>46208</v>
      </c>
      <c r="D33" s="518"/>
      <c r="E33" s="511" t="s">
        <v>134</v>
      </c>
      <c r="F33" s="512">
        <f t="shared" si="0"/>
        <v>21.646155</v>
      </c>
      <c r="G33" s="513">
        <f t="shared" si="1"/>
        <v>0</v>
      </c>
      <c r="H33" s="493"/>
    </row>
    <row r="34" spans="1:8" x14ac:dyDescent="0.3">
      <c r="A34" s="525"/>
      <c r="B34" s="508"/>
      <c r="C34" s="524">
        <v>46209</v>
      </c>
      <c r="D34" s="518"/>
      <c r="E34" s="511" t="s">
        <v>134</v>
      </c>
      <c r="F34" s="512">
        <f t="shared" si="0"/>
        <v>21.646155</v>
      </c>
      <c r="G34" s="513">
        <f t="shared" si="1"/>
        <v>0</v>
      </c>
      <c r="H34" s="493"/>
    </row>
    <row r="35" spans="1:8" x14ac:dyDescent="0.3">
      <c r="A35" s="525"/>
      <c r="B35" s="508"/>
      <c r="C35" s="524">
        <v>46210</v>
      </c>
      <c r="D35" s="518"/>
      <c r="E35" s="511" t="s">
        <v>134</v>
      </c>
      <c r="F35" s="512">
        <f t="shared" si="0"/>
        <v>21.646155</v>
      </c>
      <c r="G35" s="513">
        <f t="shared" si="1"/>
        <v>0</v>
      </c>
      <c r="H35" s="493"/>
    </row>
    <row r="36" spans="1:8" x14ac:dyDescent="0.3">
      <c r="A36" s="525"/>
      <c r="B36" s="508"/>
      <c r="C36" s="524">
        <v>46211</v>
      </c>
      <c r="D36" s="518"/>
      <c r="E36" s="511" t="s">
        <v>134</v>
      </c>
      <c r="F36" s="512">
        <f t="shared" si="0"/>
        <v>21.646155</v>
      </c>
      <c r="G36" s="513">
        <f t="shared" si="1"/>
        <v>0</v>
      </c>
      <c r="H36" s="493"/>
    </row>
    <row r="37" spans="1:8" x14ac:dyDescent="0.3">
      <c r="A37" s="525"/>
      <c r="B37" s="508"/>
      <c r="C37" s="524">
        <v>46212</v>
      </c>
      <c r="D37" s="518"/>
      <c r="E37" s="511" t="s">
        <v>134</v>
      </c>
      <c r="F37" s="512">
        <f t="shared" si="0"/>
        <v>21.646155</v>
      </c>
      <c r="G37" s="513">
        <f t="shared" si="1"/>
        <v>0</v>
      </c>
      <c r="H37" s="493"/>
    </row>
    <row r="38" spans="1:8" x14ac:dyDescent="0.3">
      <c r="A38" s="525"/>
      <c r="B38" s="508"/>
      <c r="C38" s="524">
        <v>46213</v>
      </c>
      <c r="D38" s="518"/>
      <c r="E38" s="511" t="s">
        <v>134</v>
      </c>
      <c r="F38" s="512">
        <f t="shared" si="0"/>
        <v>21.646155</v>
      </c>
      <c r="G38" s="513">
        <f t="shared" si="1"/>
        <v>0</v>
      </c>
      <c r="H38" s="493"/>
    </row>
    <row r="39" spans="1:8" x14ac:dyDescent="0.3">
      <c r="A39" s="525"/>
      <c r="B39" s="508"/>
      <c r="C39" s="524">
        <v>46214</v>
      </c>
      <c r="D39" s="518"/>
      <c r="E39" s="511" t="s">
        <v>134</v>
      </c>
      <c r="F39" s="512">
        <f t="shared" si="0"/>
        <v>21.646155</v>
      </c>
      <c r="G39" s="513">
        <f t="shared" si="1"/>
        <v>0</v>
      </c>
      <c r="H39" s="493"/>
    </row>
    <row r="40" spans="1:8" x14ac:dyDescent="0.3">
      <c r="A40" s="525"/>
      <c r="B40" s="508"/>
      <c r="C40" s="524">
        <v>46215</v>
      </c>
      <c r="D40" s="518"/>
      <c r="E40" s="511" t="s">
        <v>134</v>
      </c>
      <c r="F40" s="512">
        <f t="shared" si="0"/>
        <v>21.646155</v>
      </c>
      <c r="G40" s="513">
        <f t="shared" si="1"/>
        <v>0</v>
      </c>
      <c r="H40" s="493"/>
    </row>
    <row r="41" spans="1:8" x14ac:dyDescent="0.3">
      <c r="A41" s="525"/>
      <c r="B41" s="508"/>
      <c r="C41" s="524">
        <v>46216</v>
      </c>
      <c r="D41" s="518"/>
      <c r="E41" s="511" t="s">
        <v>134</v>
      </c>
      <c r="F41" s="512">
        <f t="shared" si="0"/>
        <v>21.646155</v>
      </c>
      <c r="G41" s="513">
        <f t="shared" si="1"/>
        <v>0</v>
      </c>
      <c r="H41" s="493"/>
    </row>
    <row r="42" spans="1:8" x14ac:dyDescent="0.3">
      <c r="A42" s="525"/>
      <c r="B42" s="508"/>
      <c r="C42" s="524">
        <v>46217</v>
      </c>
      <c r="D42" s="518"/>
      <c r="E42" s="511" t="s">
        <v>134</v>
      </c>
      <c r="F42" s="512">
        <f t="shared" si="0"/>
        <v>21.646155</v>
      </c>
      <c r="G42" s="513">
        <f t="shared" si="1"/>
        <v>0</v>
      </c>
      <c r="H42" s="493"/>
    </row>
    <row r="43" spans="1:8" x14ac:dyDescent="0.3">
      <c r="A43" s="525"/>
      <c r="B43" s="508"/>
      <c r="C43" s="524">
        <v>46218</v>
      </c>
      <c r="D43" s="518"/>
      <c r="E43" s="511" t="s">
        <v>134</v>
      </c>
      <c r="F43" s="512">
        <f t="shared" si="0"/>
        <v>21.646155</v>
      </c>
      <c r="G43" s="513">
        <f t="shared" si="1"/>
        <v>0</v>
      </c>
      <c r="H43" s="493"/>
    </row>
    <row r="44" spans="1:8" x14ac:dyDescent="0.3">
      <c r="A44" s="525"/>
      <c r="B44" s="508"/>
      <c r="C44" s="524">
        <v>46219</v>
      </c>
      <c r="D44" s="518"/>
      <c r="E44" s="511" t="s">
        <v>134</v>
      </c>
      <c r="F44" s="512">
        <f t="shared" si="0"/>
        <v>21.646155</v>
      </c>
      <c r="G44" s="513">
        <f t="shared" si="1"/>
        <v>0</v>
      </c>
      <c r="H44" s="493"/>
    </row>
    <row r="45" spans="1:8" x14ac:dyDescent="0.3">
      <c r="A45" s="525"/>
      <c r="B45" s="508"/>
      <c r="C45" s="524">
        <v>46220</v>
      </c>
      <c r="D45" s="518"/>
      <c r="E45" s="511" t="s">
        <v>134</v>
      </c>
      <c r="F45" s="512">
        <f t="shared" si="0"/>
        <v>21.646155</v>
      </c>
      <c r="G45" s="513">
        <f t="shared" si="1"/>
        <v>0</v>
      </c>
      <c r="H45" s="493"/>
    </row>
    <row r="46" spans="1:8" x14ac:dyDescent="0.3">
      <c r="A46" s="525"/>
      <c r="B46" s="508"/>
      <c r="C46" s="524">
        <v>46221</v>
      </c>
      <c r="D46" s="518"/>
      <c r="E46" s="511" t="s">
        <v>134</v>
      </c>
      <c r="F46" s="512">
        <f t="shared" si="0"/>
        <v>21.646155</v>
      </c>
      <c r="G46" s="513">
        <f t="shared" si="1"/>
        <v>0</v>
      </c>
      <c r="H46" s="493"/>
    </row>
    <row r="47" spans="1:8" x14ac:dyDescent="0.3">
      <c r="A47" s="525"/>
      <c r="B47" s="508"/>
      <c r="C47" s="524">
        <v>46222</v>
      </c>
      <c r="D47" s="518"/>
      <c r="E47" s="511" t="s">
        <v>134</v>
      </c>
      <c r="F47" s="512">
        <f t="shared" si="0"/>
        <v>21.646155</v>
      </c>
      <c r="G47" s="513">
        <f t="shared" si="1"/>
        <v>0</v>
      </c>
      <c r="H47" s="493"/>
    </row>
    <row r="48" spans="1:8" x14ac:dyDescent="0.3">
      <c r="A48" s="525"/>
      <c r="B48" s="508"/>
      <c r="C48" s="524">
        <v>46223</v>
      </c>
      <c r="D48" s="518"/>
      <c r="E48" s="511" t="s">
        <v>134</v>
      </c>
      <c r="F48" s="512">
        <f t="shared" si="0"/>
        <v>21.646155</v>
      </c>
      <c r="G48" s="513">
        <f t="shared" si="1"/>
        <v>0</v>
      </c>
      <c r="H48" s="493"/>
    </row>
    <row r="49" spans="1:8" x14ac:dyDescent="0.3">
      <c r="A49" s="525"/>
      <c r="B49" s="508"/>
      <c r="C49" s="524">
        <v>46224</v>
      </c>
      <c r="D49" s="518"/>
      <c r="E49" s="511" t="s">
        <v>134</v>
      </c>
      <c r="F49" s="512">
        <f t="shared" si="0"/>
        <v>21.646155</v>
      </c>
      <c r="G49" s="513">
        <f t="shared" si="1"/>
        <v>0</v>
      </c>
      <c r="H49" s="493"/>
    </row>
    <row r="50" spans="1:8" x14ac:dyDescent="0.3">
      <c r="A50" s="525"/>
      <c r="B50" s="508"/>
      <c r="C50" s="524">
        <v>46225</v>
      </c>
      <c r="D50" s="518"/>
      <c r="E50" s="511" t="s">
        <v>134</v>
      </c>
      <c r="F50" s="512">
        <f t="shared" si="0"/>
        <v>21.646155</v>
      </c>
      <c r="G50" s="513">
        <f t="shared" si="1"/>
        <v>0</v>
      </c>
      <c r="H50" s="493"/>
    </row>
    <row r="51" spans="1:8" x14ac:dyDescent="0.3">
      <c r="A51" s="525"/>
      <c r="B51" s="508"/>
      <c r="C51" s="524">
        <v>46226</v>
      </c>
      <c r="D51" s="518"/>
      <c r="E51" s="511" t="s">
        <v>134</v>
      </c>
      <c r="F51" s="512">
        <f t="shared" si="0"/>
        <v>21.646155</v>
      </c>
      <c r="G51" s="513">
        <f t="shared" si="1"/>
        <v>0</v>
      </c>
      <c r="H51" s="493"/>
    </row>
    <row r="52" spans="1:8" x14ac:dyDescent="0.3">
      <c r="A52" s="525"/>
      <c r="B52" s="508"/>
      <c r="C52" s="524">
        <v>46227</v>
      </c>
      <c r="D52" s="518"/>
      <c r="E52" s="511" t="s">
        <v>134</v>
      </c>
      <c r="F52" s="512">
        <f t="shared" si="0"/>
        <v>21.646155</v>
      </c>
      <c r="G52" s="513">
        <f t="shared" si="1"/>
        <v>0</v>
      </c>
      <c r="H52" s="493"/>
    </row>
    <row r="53" spans="1:8" x14ac:dyDescent="0.3">
      <c r="A53" s="525"/>
      <c r="B53" s="508"/>
      <c r="C53" s="524">
        <v>46228</v>
      </c>
      <c r="D53" s="518"/>
      <c r="E53" s="511" t="s">
        <v>134</v>
      </c>
      <c r="F53" s="512">
        <f t="shared" si="0"/>
        <v>21.646155</v>
      </c>
      <c r="G53" s="513">
        <f t="shared" si="1"/>
        <v>0</v>
      </c>
      <c r="H53" s="493"/>
    </row>
    <row r="54" spans="1:8" x14ac:dyDescent="0.3">
      <c r="A54" s="525"/>
      <c r="B54" s="603"/>
      <c r="C54" s="524">
        <v>46229</v>
      </c>
      <c r="D54" s="518"/>
      <c r="E54" s="511" t="s">
        <v>134</v>
      </c>
      <c r="F54" s="512">
        <f t="shared" si="0"/>
        <v>21.646155</v>
      </c>
      <c r="G54" s="513">
        <f t="shared" si="1"/>
        <v>0</v>
      </c>
      <c r="H54" s="493"/>
    </row>
    <row r="55" spans="1:8" x14ac:dyDescent="0.3">
      <c r="A55" s="525"/>
      <c r="B55" s="603"/>
      <c r="C55" s="524">
        <v>46230</v>
      </c>
      <c r="D55" s="518"/>
      <c r="E55" s="511" t="s">
        <v>134</v>
      </c>
      <c r="F55" s="512">
        <f t="shared" si="0"/>
        <v>21.646155</v>
      </c>
      <c r="G55" s="513">
        <f t="shared" si="1"/>
        <v>0</v>
      </c>
      <c r="H55" s="493"/>
    </row>
    <row r="56" spans="1:8" x14ac:dyDescent="0.3">
      <c r="A56" s="525"/>
      <c r="B56" s="603"/>
      <c r="C56" s="524">
        <v>46231</v>
      </c>
      <c r="D56" s="518"/>
      <c r="E56" s="511" t="s">
        <v>134</v>
      </c>
      <c r="F56" s="512">
        <f t="shared" si="0"/>
        <v>21.646155</v>
      </c>
      <c r="G56" s="513">
        <f t="shared" si="1"/>
        <v>0</v>
      </c>
      <c r="H56" s="493"/>
    </row>
    <row r="57" spans="1:8" x14ac:dyDescent="0.3">
      <c r="A57" s="525"/>
      <c r="B57" s="603"/>
      <c r="C57" s="524">
        <v>46232</v>
      </c>
      <c r="D57" s="518"/>
      <c r="E57" s="511" t="s">
        <v>134</v>
      </c>
      <c r="F57" s="512">
        <f t="shared" si="0"/>
        <v>21.646155</v>
      </c>
      <c r="G57" s="513">
        <f t="shared" si="1"/>
        <v>0</v>
      </c>
      <c r="H57" s="493"/>
    </row>
    <row r="58" spans="1:8" x14ac:dyDescent="0.3">
      <c r="A58" s="525"/>
      <c r="B58" s="603"/>
      <c r="C58" s="524">
        <v>46233</v>
      </c>
      <c r="D58" s="518"/>
      <c r="E58" s="511" t="s">
        <v>134</v>
      </c>
      <c r="F58" s="512">
        <f t="shared" si="0"/>
        <v>21.646155</v>
      </c>
      <c r="G58" s="513">
        <f t="shared" si="1"/>
        <v>0</v>
      </c>
      <c r="H58" s="493"/>
    </row>
    <row r="59" spans="1:8" ht="15" thickBot="1" x14ac:dyDescent="0.35">
      <c r="A59" s="525"/>
      <c r="B59" s="603"/>
      <c r="C59" s="524">
        <v>46234</v>
      </c>
      <c r="D59" s="518"/>
      <c r="E59" s="511" t="s">
        <v>134</v>
      </c>
      <c r="F59" s="512">
        <f t="shared" si="0"/>
        <v>21.646155</v>
      </c>
      <c r="G59" s="513">
        <f t="shared" si="1"/>
        <v>0</v>
      </c>
      <c r="H59" s="493"/>
    </row>
    <row r="60" spans="1:8" ht="15.6" thickTop="1" thickBot="1" x14ac:dyDescent="0.35">
      <c r="A60" s="520"/>
      <c r="B60" s="521" t="s">
        <v>54</v>
      </c>
      <c r="C60" s="521"/>
      <c r="D60" s="521"/>
      <c r="E60" s="521" t="s">
        <v>135</v>
      </c>
      <c r="F60" s="522"/>
      <c r="G60" s="526">
        <f>SUM(G29:G59)</f>
        <v>0</v>
      </c>
      <c r="H60" s="493"/>
    </row>
    <row r="61" spans="1:8" x14ac:dyDescent="0.3">
      <c r="A61" s="495"/>
      <c r="B61" s="495"/>
      <c r="C61" s="495"/>
      <c r="D61" s="495"/>
      <c r="E61" s="495"/>
      <c r="F61" s="495"/>
      <c r="G61" s="495"/>
      <c r="H61" s="493"/>
    </row>
    <row r="62" spans="1:8" ht="15" thickBot="1" x14ac:dyDescent="0.35">
      <c r="A62" s="495"/>
      <c r="B62" s="495"/>
      <c r="C62" s="495"/>
      <c r="D62" s="495"/>
      <c r="E62" s="495"/>
      <c r="F62" s="495"/>
      <c r="G62" s="495"/>
      <c r="H62" s="493"/>
    </row>
    <row r="63" spans="1:8" ht="21.6" thickTop="1" thickBot="1" x14ac:dyDescent="0.4">
      <c r="A63" s="495"/>
      <c r="B63" s="495"/>
      <c r="C63" s="495"/>
      <c r="D63" s="495"/>
      <c r="E63" s="495"/>
      <c r="F63" s="527" t="s">
        <v>115</v>
      </c>
      <c r="G63" s="528">
        <f>G22+G60</f>
        <v>0</v>
      </c>
      <c r="H63" s="529" t="s">
        <v>116</v>
      </c>
    </row>
    <row r="64" spans="1:8" ht="15" thickTop="1" x14ac:dyDescent="0.3"/>
  </sheetData>
  <mergeCells count="1">
    <mergeCell ref="A16:G16"/>
  </mergeCells>
  <phoneticPr fontId="44" type="noConversion"/>
  <pageMargins left="0.7" right="0.7" top="0.75" bottom="0.75" header="0.3" footer="0.3"/>
  <pageSetup paperSize="8" scale="7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AF54"/>
  <sheetViews>
    <sheetView zoomScale="40" zoomScaleNormal="40" zoomScaleSheetLayoutView="30" workbookViewId="0">
      <pane ySplit="8" topLeftCell="A9" activePane="bottomLeft" state="frozen"/>
      <selection activeCell="B1" sqref="B1"/>
      <selection pane="bottomLeft" activeCell="M31" sqref="M31"/>
    </sheetView>
  </sheetViews>
  <sheetFormatPr defaultColWidth="14.44140625" defaultRowHeight="14.4" x14ac:dyDescent="0.3"/>
  <cols>
    <col min="1" max="2" width="21.6640625" customWidth="1"/>
    <col min="3" max="3" width="30.6640625" customWidth="1"/>
    <col min="4" max="5" width="14.44140625" customWidth="1"/>
    <col min="6" max="6" width="30.6640625" customWidth="1"/>
    <col min="7" max="8" width="14.44140625" customWidth="1"/>
    <col min="9" max="9" width="32.6640625" customWidth="1"/>
    <col min="10" max="10" width="14.44140625" customWidth="1"/>
    <col min="11" max="11" width="15.5546875" customWidth="1"/>
    <col min="12" max="12" width="31.44140625" customWidth="1"/>
    <col min="13" max="13" width="14.44140625" customWidth="1"/>
    <col min="14" max="14" width="14.6640625" customWidth="1"/>
    <col min="15" max="15" width="29.33203125" customWidth="1"/>
    <col min="16" max="16" width="14.44140625" customWidth="1"/>
    <col min="17" max="17" width="15.5546875" customWidth="1"/>
    <col min="18" max="18" width="34.44140625" customWidth="1"/>
    <col min="19" max="19" width="14.44140625" customWidth="1"/>
    <col min="20" max="20" width="15.5546875" customWidth="1"/>
    <col min="21" max="22" width="9.109375" customWidth="1"/>
    <col min="23" max="24" width="33.88671875" customWidth="1"/>
    <col min="25" max="25" width="67.44140625" customWidth="1"/>
    <col min="26" max="32" width="9.109375" customWidth="1"/>
  </cols>
  <sheetData>
    <row r="2" spans="1:32" ht="24" x14ac:dyDescent="0.45">
      <c r="A2" s="79"/>
      <c r="B2" s="79"/>
      <c r="C2" s="78"/>
      <c r="D2" s="78"/>
      <c r="E2" s="79" t="s">
        <v>136</v>
      </c>
      <c r="F2" s="78"/>
      <c r="G2" s="78"/>
      <c r="H2" s="79"/>
      <c r="I2" s="79"/>
      <c r="J2" s="79"/>
      <c r="K2" s="78"/>
      <c r="L2" s="78"/>
      <c r="M2" s="78"/>
      <c r="N2" s="78"/>
      <c r="O2" s="79"/>
      <c r="P2" s="79"/>
      <c r="Q2" s="78"/>
      <c r="R2" s="79"/>
      <c r="S2" s="79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</row>
    <row r="3" spans="1:32" ht="24" x14ac:dyDescent="0.45">
      <c r="A3" s="79"/>
      <c r="B3" s="79"/>
      <c r="C3" s="78"/>
      <c r="D3" s="78"/>
      <c r="E3" s="79" t="s">
        <v>1</v>
      </c>
      <c r="F3" s="78"/>
      <c r="G3" s="78"/>
      <c r="H3" s="79"/>
      <c r="I3" s="79"/>
      <c r="J3" s="79"/>
      <c r="K3" s="78"/>
      <c r="L3" s="78"/>
      <c r="M3" s="78"/>
      <c r="N3" s="78"/>
      <c r="O3" s="79"/>
      <c r="P3" s="79"/>
      <c r="Q3" s="78"/>
      <c r="R3" s="79"/>
      <c r="S3" s="79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2" ht="15" thickBot="1" x14ac:dyDescent="0.35"/>
    <row r="5" spans="1:32" ht="54.6" thickTop="1" thickBot="1" x14ac:dyDescent="0.35">
      <c r="A5" s="653" t="s">
        <v>2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 s="654"/>
      <c r="N5" s="654"/>
      <c r="O5" s="654"/>
      <c r="P5" s="654"/>
      <c r="Q5" s="654"/>
      <c r="R5" s="654"/>
      <c r="S5" s="654"/>
      <c r="T5" s="655"/>
    </row>
    <row r="6" spans="1:32" ht="27" thickTop="1" thickBot="1" x14ac:dyDescent="0.35">
      <c r="A6" s="656" t="s">
        <v>45</v>
      </c>
      <c r="B6" s="657"/>
      <c r="C6" s="660"/>
      <c r="D6" s="660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2"/>
    </row>
    <row r="7" spans="1:32" ht="29.4" customHeight="1" thickTop="1" x14ac:dyDescent="0.3">
      <c r="A7" s="658"/>
      <c r="B7" s="658"/>
      <c r="C7" s="683" t="s">
        <v>137</v>
      </c>
      <c r="D7" s="669" t="s">
        <v>85</v>
      </c>
      <c r="E7" s="649" t="s">
        <v>138</v>
      </c>
      <c r="F7" s="685" t="s">
        <v>139</v>
      </c>
      <c r="G7" s="669" t="s">
        <v>85</v>
      </c>
      <c r="H7" s="649" t="s">
        <v>138</v>
      </c>
      <c r="I7" s="686" t="s">
        <v>140</v>
      </c>
      <c r="J7" s="669" t="s">
        <v>85</v>
      </c>
      <c r="K7" s="649" t="s">
        <v>138</v>
      </c>
      <c r="L7" s="687" t="s">
        <v>141</v>
      </c>
      <c r="M7" s="669" t="s">
        <v>85</v>
      </c>
      <c r="N7" s="649" t="s">
        <v>138</v>
      </c>
      <c r="O7" s="689" t="s">
        <v>142</v>
      </c>
      <c r="P7" s="669" t="s">
        <v>85</v>
      </c>
      <c r="Q7" s="649" t="s">
        <v>138</v>
      </c>
      <c r="R7" s="666" t="s">
        <v>143</v>
      </c>
      <c r="S7" s="669" t="s">
        <v>85</v>
      </c>
      <c r="T7" s="649" t="s">
        <v>138</v>
      </c>
      <c r="W7" s="355"/>
    </row>
    <row r="8" spans="1:32" ht="24" customHeight="1" thickBot="1" x14ac:dyDescent="0.5">
      <c r="A8" s="659"/>
      <c r="B8" s="659"/>
      <c r="C8" s="684"/>
      <c r="D8" s="677"/>
      <c r="E8" s="650"/>
      <c r="F8" s="684"/>
      <c r="G8" s="677"/>
      <c r="H8" s="650"/>
      <c r="I8" s="684"/>
      <c r="J8" s="677"/>
      <c r="K8" s="650"/>
      <c r="L8" s="688"/>
      <c r="M8" s="677"/>
      <c r="N8" s="650"/>
      <c r="O8" s="684"/>
      <c r="P8" s="677"/>
      <c r="Q8" s="650"/>
      <c r="R8" s="691"/>
      <c r="S8" s="677"/>
      <c r="T8" s="650"/>
      <c r="Z8" s="78"/>
      <c r="AA8" s="78"/>
      <c r="AB8" s="78"/>
    </row>
    <row r="9" spans="1:32" ht="15" thickTop="1" x14ac:dyDescent="0.3"/>
    <row r="10" spans="1:32" ht="26.4" thickBot="1" x14ac:dyDescent="0.55000000000000004">
      <c r="V10" s="11"/>
      <c r="W10" s="11"/>
      <c r="X10" s="11"/>
      <c r="Y10" s="11"/>
      <c r="Z10" s="11"/>
      <c r="AA10" s="11"/>
      <c r="AB10" s="11"/>
    </row>
    <row r="11" spans="1:32" ht="27.6" thickTop="1" thickBot="1" x14ac:dyDescent="0.55000000000000004">
      <c r="A11" s="364">
        <v>1</v>
      </c>
      <c r="B11" s="363" t="s">
        <v>28</v>
      </c>
      <c r="C11" s="381" t="s">
        <v>92</v>
      </c>
      <c r="D11" s="551"/>
      <c r="E11" s="409">
        <v>8</v>
      </c>
      <c r="F11" s="390" t="s">
        <v>93</v>
      </c>
      <c r="G11" s="551" t="s">
        <v>86</v>
      </c>
      <c r="H11" s="409">
        <v>8</v>
      </c>
      <c r="I11" s="249" t="s">
        <v>12</v>
      </c>
      <c r="J11" s="551"/>
      <c r="K11" s="264"/>
      <c r="L11" s="376" t="s">
        <v>32</v>
      </c>
      <c r="M11" s="551"/>
      <c r="N11" s="409"/>
      <c r="O11" s="571" t="s">
        <v>90</v>
      </c>
      <c r="P11" s="551"/>
      <c r="Q11" s="551">
        <v>8</v>
      </c>
      <c r="R11" s="378" t="s">
        <v>91</v>
      </c>
      <c r="S11" s="286"/>
      <c r="T11" s="409">
        <v>8</v>
      </c>
      <c r="V11" s="11"/>
      <c r="W11" s="11"/>
      <c r="X11" s="11"/>
      <c r="Y11" s="11"/>
      <c r="Z11" s="11"/>
      <c r="AA11" s="11"/>
      <c r="AB11" s="11"/>
    </row>
    <row r="12" spans="1:32" ht="27.6" thickTop="1" thickBot="1" x14ac:dyDescent="0.55000000000000004">
      <c r="A12" s="368">
        <v>2</v>
      </c>
      <c r="B12" s="363" t="s">
        <v>31</v>
      </c>
      <c r="C12" s="380" t="s">
        <v>92</v>
      </c>
      <c r="D12" s="551"/>
      <c r="E12" s="397">
        <v>8</v>
      </c>
      <c r="F12" s="390" t="s">
        <v>93</v>
      </c>
      <c r="G12" s="551" t="s">
        <v>86</v>
      </c>
      <c r="H12" s="397">
        <v>8</v>
      </c>
      <c r="I12" s="375" t="s">
        <v>90</v>
      </c>
      <c r="J12" s="551"/>
      <c r="K12" s="397">
        <v>8</v>
      </c>
      <c r="L12" s="376" t="s">
        <v>32</v>
      </c>
      <c r="M12" s="551"/>
      <c r="N12" s="397"/>
      <c r="O12" s="249" t="s">
        <v>12</v>
      </c>
      <c r="P12" s="551"/>
      <c r="Q12" s="551"/>
      <c r="R12" s="378" t="s">
        <v>91</v>
      </c>
      <c r="S12" s="551"/>
      <c r="T12" s="397">
        <v>8</v>
      </c>
      <c r="V12" s="11"/>
      <c r="W12" s="11"/>
      <c r="X12" s="11"/>
      <c r="Y12" s="11"/>
      <c r="Z12" s="11"/>
      <c r="AA12" s="11"/>
      <c r="AB12" s="11"/>
    </row>
    <row r="13" spans="1:32" ht="27.6" thickTop="1" thickBot="1" x14ac:dyDescent="0.55000000000000004">
      <c r="A13" s="364">
        <v>3</v>
      </c>
      <c r="B13" s="363" t="s">
        <v>35</v>
      </c>
      <c r="C13" s="381" t="s">
        <v>92</v>
      </c>
      <c r="D13" s="558"/>
      <c r="E13" s="398">
        <v>8</v>
      </c>
      <c r="F13" s="390" t="s">
        <v>93</v>
      </c>
      <c r="G13" s="551" t="s">
        <v>86</v>
      </c>
      <c r="H13" s="397">
        <v>8</v>
      </c>
      <c r="I13" s="375" t="s">
        <v>90</v>
      </c>
      <c r="J13" s="292"/>
      <c r="K13" s="397">
        <v>8</v>
      </c>
      <c r="L13" s="376" t="s">
        <v>32</v>
      </c>
      <c r="M13" s="558"/>
      <c r="N13" s="398"/>
      <c r="O13" s="249" t="s">
        <v>12</v>
      </c>
      <c r="P13" s="551"/>
      <c r="Q13" s="551"/>
      <c r="R13" s="377" t="s">
        <v>91</v>
      </c>
      <c r="S13" s="292"/>
      <c r="T13" s="397">
        <v>8</v>
      </c>
      <c r="V13" s="11"/>
      <c r="W13" s="11"/>
      <c r="X13" s="11"/>
      <c r="Y13" s="11"/>
      <c r="Z13" s="11"/>
      <c r="AA13" s="11"/>
      <c r="AB13" s="11"/>
    </row>
    <row r="14" spans="1:32" ht="27.6" thickTop="1" thickBot="1" x14ac:dyDescent="0.55000000000000004">
      <c r="A14" s="365">
        <v>4</v>
      </c>
      <c r="B14" s="366" t="s">
        <v>11</v>
      </c>
      <c r="C14" s="246" t="s">
        <v>12</v>
      </c>
      <c r="D14" s="552"/>
      <c r="E14" s="238"/>
      <c r="F14" s="391" t="s">
        <v>93</v>
      </c>
      <c r="G14" s="552" t="s">
        <v>86</v>
      </c>
      <c r="H14" s="399">
        <v>8</v>
      </c>
      <c r="I14" s="382" t="s">
        <v>90</v>
      </c>
      <c r="J14" s="298"/>
      <c r="K14" s="399">
        <v>8</v>
      </c>
      <c r="L14" s="401" t="s">
        <v>32</v>
      </c>
      <c r="M14" s="552"/>
      <c r="N14" s="238"/>
      <c r="O14" s="384" t="s">
        <v>92</v>
      </c>
      <c r="P14" s="572"/>
      <c r="Q14" s="399">
        <v>8</v>
      </c>
      <c r="R14" s="379" t="s">
        <v>91</v>
      </c>
      <c r="S14" s="320"/>
      <c r="T14" s="394">
        <v>8</v>
      </c>
      <c r="V14" s="11"/>
      <c r="W14" s="11"/>
      <c r="X14" s="11"/>
      <c r="Y14" s="11"/>
      <c r="Z14" s="11"/>
      <c r="AA14" s="11"/>
      <c r="AB14" s="11"/>
    </row>
    <row r="15" spans="1:32" ht="27.6" thickTop="1" thickBot="1" x14ac:dyDescent="0.55000000000000004">
      <c r="A15" s="83">
        <v>5</v>
      </c>
      <c r="B15" s="83" t="s">
        <v>19</v>
      </c>
      <c r="C15" s="491" t="s">
        <v>91</v>
      </c>
      <c r="D15" s="560" t="s">
        <v>86</v>
      </c>
      <c r="E15" s="393">
        <v>8</v>
      </c>
      <c r="F15" s="244" t="s">
        <v>12</v>
      </c>
      <c r="G15" s="560"/>
      <c r="H15" s="225"/>
      <c r="I15" s="383" t="s">
        <v>90</v>
      </c>
      <c r="J15" s="304"/>
      <c r="K15" s="393">
        <v>8</v>
      </c>
      <c r="L15" s="244" t="s">
        <v>12</v>
      </c>
      <c r="M15" s="573"/>
      <c r="N15" s="239"/>
      <c r="O15" s="385" t="s">
        <v>92</v>
      </c>
      <c r="P15" s="319"/>
      <c r="Q15" s="395">
        <v>8</v>
      </c>
      <c r="R15" s="244" t="s">
        <v>12</v>
      </c>
      <c r="S15" s="304"/>
      <c r="T15" s="393"/>
      <c r="V15" s="11"/>
      <c r="W15" s="11"/>
      <c r="X15" s="11"/>
      <c r="Y15" s="11"/>
      <c r="Z15" s="11"/>
      <c r="AA15" s="11"/>
      <c r="AB15" s="11"/>
    </row>
    <row r="16" spans="1:32" ht="27.6" thickTop="1" thickBot="1" x14ac:dyDescent="0.55000000000000004">
      <c r="A16" s="82">
        <v>6</v>
      </c>
      <c r="B16" s="82" t="s">
        <v>22</v>
      </c>
      <c r="C16" s="492" t="s">
        <v>90</v>
      </c>
      <c r="D16" s="561" t="s">
        <v>86</v>
      </c>
      <c r="E16" s="407">
        <v>8</v>
      </c>
      <c r="F16" s="255" t="s">
        <v>12</v>
      </c>
      <c r="G16" s="561"/>
      <c r="H16" s="228"/>
      <c r="I16" s="18" t="s">
        <v>12</v>
      </c>
      <c r="J16" s="561"/>
      <c r="K16" s="561"/>
      <c r="L16" s="255" t="s">
        <v>12</v>
      </c>
      <c r="M16" s="561"/>
      <c r="N16" s="228"/>
      <c r="O16" s="386" t="s">
        <v>92</v>
      </c>
      <c r="P16" s="320"/>
      <c r="Q16" s="394">
        <v>8</v>
      </c>
      <c r="R16" s="379" t="s">
        <v>91</v>
      </c>
      <c r="S16" s="320"/>
      <c r="T16" s="394">
        <v>8</v>
      </c>
      <c r="V16" s="11"/>
      <c r="W16" s="11"/>
      <c r="X16" s="11"/>
      <c r="Y16" s="11"/>
      <c r="Z16" s="11"/>
      <c r="AA16" s="11"/>
      <c r="AB16" s="11"/>
    </row>
    <row r="17" spans="1:28" ht="27.6" thickTop="1" thickBot="1" x14ac:dyDescent="0.55000000000000004">
      <c r="A17" s="371">
        <v>7</v>
      </c>
      <c r="B17" s="367" t="s">
        <v>25</v>
      </c>
      <c r="C17" s="390" t="s">
        <v>93</v>
      </c>
      <c r="D17" s="550"/>
      <c r="E17" s="550">
        <v>8</v>
      </c>
      <c r="F17" s="392" t="s">
        <v>32</v>
      </c>
      <c r="G17" s="550"/>
      <c r="H17" s="25"/>
      <c r="I17" s="377" t="s">
        <v>91</v>
      </c>
      <c r="J17" s="550" t="s">
        <v>86</v>
      </c>
      <c r="K17" s="397">
        <v>8</v>
      </c>
      <c r="L17" s="571" t="s">
        <v>90</v>
      </c>
      <c r="M17" s="550"/>
      <c r="N17" s="550">
        <v>8</v>
      </c>
      <c r="O17" s="249" t="s">
        <v>12</v>
      </c>
      <c r="P17" s="289"/>
      <c r="Q17" s="370"/>
      <c r="R17" s="380" t="s">
        <v>92</v>
      </c>
      <c r="S17" s="550"/>
      <c r="T17" s="397">
        <v>8</v>
      </c>
      <c r="V17" s="11"/>
      <c r="W17" s="11"/>
      <c r="X17" s="11"/>
      <c r="Y17" s="11"/>
      <c r="Z17" s="11"/>
      <c r="AA17" s="11"/>
      <c r="AB17" s="11"/>
    </row>
    <row r="18" spans="1:28" ht="27.6" thickTop="1" thickBot="1" x14ac:dyDescent="0.55000000000000004">
      <c r="A18" s="364">
        <v>8</v>
      </c>
      <c r="B18" s="363" t="s">
        <v>28</v>
      </c>
      <c r="C18" s="390" t="s">
        <v>93</v>
      </c>
      <c r="D18" s="551"/>
      <c r="E18" s="551">
        <v>8</v>
      </c>
      <c r="F18" s="376" t="s">
        <v>32</v>
      </c>
      <c r="G18" s="551"/>
      <c r="H18" s="39"/>
      <c r="I18" s="378" t="s">
        <v>91</v>
      </c>
      <c r="J18" s="551" t="s">
        <v>86</v>
      </c>
      <c r="K18" s="397">
        <v>8</v>
      </c>
      <c r="L18" s="571" t="s">
        <v>90</v>
      </c>
      <c r="M18" s="551"/>
      <c r="N18" s="551">
        <v>8</v>
      </c>
      <c r="O18" s="249" t="s">
        <v>12</v>
      </c>
      <c r="P18" s="286"/>
      <c r="Q18" s="370"/>
      <c r="R18" s="381" t="s">
        <v>92</v>
      </c>
      <c r="S18" s="551"/>
      <c r="T18" s="398">
        <v>8</v>
      </c>
      <c r="V18" s="11"/>
      <c r="W18" s="11"/>
      <c r="X18" s="11"/>
      <c r="Y18" s="11"/>
      <c r="Z18" s="11"/>
      <c r="AA18" s="11"/>
      <c r="AB18" s="11"/>
    </row>
    <row r="19" spans="1:28" ht="27.6" thickTop="1" thickBot="1" x14ac:dyDescent="0.55000000000000004">
      <c r="A19" s="368">
        <v>9</v>
      </c>
      <c r="B19" s="363" t="s">
        <v>31</v>
      </c>
      <c r="C19" s="390" t="s">
        <v>93</v>
      </c>
      <c r="D19" s="551"/>
      <c r="E19" s="551">
        <v>8</v>
      </c>
      <c r="F19" s="376" t="s">
        <v>32</v>
      </c>
      <c r="G19" s="551"/>
      <c r="H19" s="39"/>
      <c r="I19" s="378" t="s">
        <v>91</v>
      </c>
      <c r="J19" s="551" t="s">
        <v>86</v>
      </c>
      <c r="K19" s="397">
        <v>8</v>
      </c>
      <c r="L19" s="249" t="s">
        <v>12</v>
      </c>
      <c r="M19" s="551"/>
      <c r="N19" s="551"/>
      <c r="O19" s="375" t="s">
        <v>90</v>
      </c>
      <c r="P19" s="551"/>
      <c r="Q19" s="397">
        <v>8</v>
      </c>
      <c r="R19" s="380" t="s">
        <v>92</v>
      </c>
      <c r="S19" s="551"/>
      <c r="T19" s="397">
        <v>8</v>
      </c>
      <c r="V19" s="11"/>
      <c r="W19" s="11"/>
      <c r="X19" s="11"/>
      <c r="Y19" s="11"/>
      <c r="Z19" s="11"/>
      <c r="AA19" s="11"/>
      <c r="AB19" s="11"/>
    </row>
    <row r="20" spans="1:28" ht="27.6" thickTop="1" thickBot="1" x14ac:dyDescent="0.55000000000000004">
      <c r="A20" s="368">
        <v>10</v>
      </c>
      <c r="B20" s="363" t="s">
        <v>35</v>
      </c>
      <c r="C20" s="390" t="s">
        <v>93</v>
      </c>
      <c r="D20" s="551"/>
      <c r="E20" s="551">
        <v>8</v>
      </c>
      <c r="F20" s="376" t="s">
        <v>32</v>
      </c>
      <c r="G20" s="551"/>
      <c r="H20" s="39"/>
      <c r="I20" s="377" t="s">
        <v>91</v>
      </c>
      <c r="J20" s="551" t="s">
        <v>86</v>
      </c>
      <c r="K20" s="397">
        <v>8</v>
      </c>
      <c r="L20" s="249" t="s">
        <v>12</v>
      </c>
      <c r="M20" s="551"/>
      <c r="N20" s="551"/>
      <c r="O20" s="375" t="s">
        <v>90</v>
      </c>
      <c r="P20" s="292"/>
      <c r="Q20" s="397">
        <v>8</v>
      </c>
      <c r="R20" s="381" t="s">
        <v>92</v>
      </c>
      <c r="S20" s="558"/>
      <c r="T20" s="398">
        <v>8</v>
      </c>
      <c r="V20" s="11"/>
      <c r="W20" s="11"/>
      <c r="X20" s="11"/>
      <c r="Y20" s="10"/>
    </row>
    <row r="21" spans="1:28" ht="27" thickTop="1" thickBot="1" x14ac:dyDescent="0.45">
      <c r="A21" s="400">
        <v>11</v>
      </c>
      <c r="B21" s="366" t="s">
        <v>11</v>
      </c>
      <c r="C21" s="391" t="s">
        <v>93</v>
      </c>
      <c r="D21" s="572"/>
      <c r="E21" s="399">
        <v>8</v>
      </c>
      <c r="F21" s="401" t="s">
        <v>32</v>
      </c>
      <c r="G21" s="552"/>
      <c r="H21" s="17"/>
      <c r="I21" s="379" t="s">
        <v>91</v>
      </c>
      <c r="J21" s="552" t="s">
        <v>86</v>
      </c>
      <c r="K21" s="399">
        <v>8</v>
      </c>
      <c r="L21" s="384" t="s">
        <v>92</v>
      </c>
      <c r="M21" s="572"/>
      <c r="N21" s="399">
        <v>8</v>
      </c>
      <c r="O21" s="382" t="s">
        <v>90</v>
      </c>
      <c r="P21" s="298"/>
      <c r="Q21" s="399">
        <v>8</v>
      </c>
      <c r="R21" s="246" t="s">
        <v>12</v>
      </c>
      <c r="S21" s="552"/>
      <c r="T21" s="238"/>
    </row>
    <row r="22" spans="1:28" ht="27.6" thickTop="1" thickBot="1" x14ac:dyDescent="0.55000000000000004">
      <c r="A22" s="83">
        <v>12</v>
      </c>
      <c r="B22" s="83" t="s">
        <v>19</v>
      </c>
      <c r="C22" s="389" t="s">
        <v>91</v>
      </c>
      <c r="D22" s="319"/>
      <c r="E22" s="393">
        <v>8</v>
      </c>
      <c r="F22" s="244" t="s">
        <v>12</v>
      </c>
      <c r="G22" s="560"/>
      <c r="H22" s="225"/>
      <c r="I22" s="244" t="s">
        <v>12</v>
      </c>
      <c r="J22" s="560" t="s">
        <v>86</v>
      </c>
      <c r="K22" s="393"/>
      <c r="L22" s="385" t="s">
        <v>92</v>
      </c>
      <c r="M22" s="319"/>
      <c r="N22" s="395">
        <v>8</v>
      </c>
      <c r="O22" s="383" t="s">
        <v>90</v>
      </c>
      <c r="P22" s="304"/>
      <c r="Q22" s="393">
        <v>8</v>
      </c>
      <c r="R22" s="244" t="s">
        <v>12</v>
      </c>
      <c r="S22" s="560"/>
      <c r="T22" s="225"/>
      <c r="W22" s="374"/>
      <c r="X22" s="374"/>
      <c r="Y22" s="10"/>
    </row>
    <row r="23" spans="1:28" ht="27.6" thickTop="1" thickBot="1" x14ac:dyDescent="0.55000000000000004">
      <c r="A23" s="82">
        <v>13</v>
      </c>
      <c r="B23" s="82" t="s">
        <v>22</v>
      </c>
      <c r="C23" s="326" t="s">
        <v>12</v>
      </c>
      <c r="D23" s="320"/>
      <c r="E23" s="394"/>
      <c r="F23" s="255" t="s">
        <v>12</v>
      </c>
      <c r="G23" s="561"/>
      <c r="H23" s="228"/>
      <c r="I23" s="379" t="s">
        <v>91</v>
      </c>
      <c r="J23" s="561" t="s">
        <v>86</v>
      </c>
      <c r="K23" s="394">
        <v>8</v>
      </c>
      <c r="L23" s="386" t="s">
        <v>92</v>
      </c>
      <c r="M23" s="320"/>
      <c r="N23" s="394">
        <v>8</v>
      </c>
      <c r="O23" s="18" t="s">
        <v>12</v>
      </c>
      <c r="P23" s="561"/>
      <c r="Q23" s="561"/>
      <c r="R23" s="387" t="s">
        <v>90</v>
      </c>
      <c r="S23" s="320"/>
      <c r="T23" s="407">
        <v>8</v>
      </c>
      <c r="W23" s="11"/>
      <c r="X23" s="11"/>
      <c r="Y23" s="10"/>
    </row>
    <row r="24" spans="1:28" ht="27.6" thickTop="1" thickBot="1" x14ac:dyDescent="0.55000000000000004">
      <c r="A24" s="371">
        <v>14</v>
      </c>
      <c r="B24" s="367" t="s">
        <v>25</v>
      </c>
      <c r="C24" s="390" t="s">
        <v>93</v>
      </c>
      <c r="D24" s="550"/>
      <c r="E24" s="397">
        <v>8</v>
      </c>
      <c r="F24" s="392" t="s">
        <v>32</v>
      </c>
      <c r="G24" s="550"/>
      <c r="H24" s="25"/>
      <c r="I24" s="380" t="s">
        <v>92</v>
      </c>
      <c r="J24" s="550"/>
      <c r="K24" s="397">
        <v>8</v>
      </c>
      <c r="L24" s="249" t="s">
        <v>12</v>
      </c>
      <c r="M24" s="550"/>
      <c r="N24" s="227"/>
      <c r="O24" s="377" t="s">
        <v>91</v>
      </c>
      <c r="P24" s="550" t="s">
        <v>86</v>
      </c>
      <c r="Q24" s="397">
        <v>8</v>
      </c>
      <c r="R24" s="571" t="s">
        <v>90</v>
      </c>
      <c r="S24" s="550"/>
      <c r="T24" s="550">
        <v>8</v>
      </c>
      <c r="W24" s="11"/>
      <c r="X24" s="11"/>
      <c r="Y24" s="10"/>
    </row>
    <row r="25" spans="1:28" ht="27.6" thickTop="1" thickBot="1" x14ac:dyDescent="0.55000000000000004">
      <c r="A25" s="82">
        <v>15</v>
      </c>
      <c r="B25" s="82" t="s">
        <v>28</v>
      </c>
      <c r="C25" s="408" t="s">
        <v>47</v>
      </c>
      <c r="D25" s="551"/>
      <c r="E25" s="227"/>
      <c r="F25" s="376" t="s">
        <v>32</v>
      </c>
      <c r="G25" s="551"/>
      <c r="H25" s="39"/>
      <c r="I25" s="381" t="s">
        <v>92</v>
      </c>
      <c r="J25" s="551"/>
      <c r="K25" s="398">
        <v>8</v>
      </c>
      <c r="L25" s="249" t="s">
        <v>12</v>
      </c>
      <c r="M25" s="551"/>
      <c r="N25" s="227"/>
      <c r="O25" s="378" t="s">
        <v>91</v>
      </c>
      <c r="P25" s="551" t="s">
        <v>86</v>
      </c>
      <c r="Q25" s="397">
        <v>8</v>
      </c>
      <c r="R25" s="571" t="s">
        <v>90</v>
      </c>
      <c r="S25" s="551"/>
      <c r="T25" s="551">
        <v>8</v>
      </c>
      <c r="W25" s="11"/>
      <c r="X25" s="11"/>
      <c r="Y25" s="10"/>
    </row>
    <row r="26" spans="1:28" ht="27.6" thickTop="1" thickBot="1" x14ac:dyDescent="0.55000000000000004">
      <c r="A26" s="368">
        <v>16</v>
      </c>
      <c r="B26" s="363" t="s">
        <v>31</v>
      </c>
      <c r="C26" s="390" t="s">
        <v>93</v>
      </c>
      <c r="D26" s="551"/>
      <c r="E26" s="397">
        <v>8</v>
      </c>
      <c r="F26" s="376" t="s">
        <v>32</v>
      </c>
      <c r="G26" s="551"/>
      <c r="H26" s="39"/>
      <c r="I26" s="380" t="s">
        <v>92</v>
      </c>
      <c r="J26" s="551"/>
      <c r="K26" s="397">
        <v>8</v>
      </c>
      <c r="L26" s="375" t="s">
        <v>90</v>
      </c>
      <c r="M26" s="551"/>
      <c r="N26" s="397">
        <v>8</v>
      </c>
      <c r="O26" s="378" t="s">
        <v>91</v>
      </c>
      <c r="P26" s="551" t="s">
        <v>86</v>
      </c>
      <c r="Q26" s="397">
        <v>8</v>
      </c>
      <c r="R26" s="249" t="s">
        <v>12</v>
      </c>
      <c r="S26" s="551"/>
      <c r="T26" s="551"/>
      <c r="W26" s="11"/>
      <c r="X26" s="14"/>
      <c r="Y26" s="10"/>
    </row>
    <row r="27" spans="1:28" ht="27.6" thickTop="1" thickBot="1" x14ac:dyDescent="0.55000000000000004">
      <c r="A27" s="364">
        <v>17</v>
      </c>
      <c r="B27" s="363" t="s">
        <v>35</v>
      </c>
      <c r="C27" s="390" t="s">
        <v>93</v>
      </c>
      <c r="D27" s="551"/>
      <c r="E27" s="397">
        <v>8</v>
      </c>
      <c r="F27" s="376" t="s">
        <v>32</v>
      </c>
      <c r="G27" s="551"/>
      <c r="H27" s="39"/>
      <c r="I27" s="381" t="s">
        <v>92</v>
      </c>
      <c r="J27" s="558"/>
      <c r="K27" s="398">
        <v>8</v>
      </c>
      <c r="L27" s="375" t="s">
        <v>90</v>
      </c>
      <c r="M27" s="551"/>
      <c r="N27" s="397">
        <v>8</v>
      </c>
      <c r="O27" s="377" t="s">
        <v>91</v>
      </c>
      <c r="P27" s="551" t="s">
        <v>86</v>
      </c>
      <c r="Q27" s="397">
        <v>8</v>
      </c>
      <c r="R27" s="249" t="s">
        <v>12</v>
      </c>
      <c r="S27" s="551"/>
      <c r="T27" s="551"/>
      <c r="W27" s="11"/>
      <c r="X27" s="11"/>
      <c r="Y27" s="10"/>
    </row>
    <row r="28" spans="1:28" ht="27.6" thickTop="1" thickBot="1" x14ac:dyDescent="0.55000000000000004">
      <c r="A28" s="365">
        <v>18</v>
      </c>
      <c r="B28" s="366" t="s">
        <v>11</v>
      </c>
      <c r="C28" s="391" t="s">
        <v>93</v>
      </c>
      <c r="D28" s="552"/>
      <c r="E28" s="397">
        <v>8</v>
      </c>
      <c r="F28" s="401" t="s">
        <v>32</v>
      </c>
      <c r="G28" s="552"/>
      <c r="H28" s="17"/>
      <c r="I28" s="246" t="s">
        <v>12</v>
      </c>
      <c r="J28" s="552"/>
      <c r="K28" s="238"/>
      <c r="L28" s="382" t="s">
        <v>90</v>
      </c>
      <c r="M28" s="552"/>
      <c r="N28" s="399">
        <v>8</v>
      </c>
      <c r="O28" s="379" t="s">
        <v>91</v>
      </c>
      <c r="P28" s="552" t="s">
        <v>86</v>
      </c>
      <c r="Q28" s="399">
        <v>8</v>
      </c>
      <c r="R28" s="384" t="s">
        <v>92</v>
      </c>
      <c r="S28" s="572"/>
      <c r="T28" s="399">
        <v>8</v>
      </c>
      <c r="W28" s="11"/>
      <c r="X28" s="11"/>
      <c r="Y28" s="10"/>
    </row>
    <row r="29" spans="1:28" ht="27.6" thickTop="1" thickBot="1" x14ac:dyDescent="0.55000000000000004">
      <c r="A29" s="83">
        <v>19</v>
      </c>
      <c r="B29" s="83" t="s">
        <v>19</v>
      </c>
      <c r="C29" s="389" t="s">
        <v>91</v>
      </c>
      <c r="D29" s="319"/>
      <c r="E29" s="393">
        <v>8</v>
      </c>
      <c r="F29" s="244" t="s">
        <v>12</v>
      </c>
      <c r="G29" s="560"/>
      <c r="H29" s="225"/>
      <c r="I29" s="244" t="s">
        <v>12</v>
      </c>
      <c r="J29" s="560"/>
      <c r="K29" s="225"/>
      <c r="L29" s="383" t="s">
        <v>90</v>
      </c>
      <c r="M29" s="560"/>
      <c r="N29" s="393">
        <v>8</v>
      </c>
      <c r="O29" s="244" t="s">
        <v>12</v>
      </c>
      <c r="P29" s="560" t="s">
        <v>86</v>
      </c>
      <c r="Q29" s="393"/>
      <c r="R29" s="385" t="s">
        <v>92</v>
      </c>
      <c r="S29" s="319"/>
      <c r="T29" s="395">
        <v>8</v>
      </c>
      <c r="W29" s="11"/>
      <c r="X29" s="11"/>
      <c r="Y29" s="10"/>
    </row>
    <row r="30" spans="1:28" ht="27.6" thickTop="1" thickBot="1" x14ac:dyDescent="0.55000000000000004">
      <c r="A30" s="82">
        <v>20</v>
      </c>
      <c r="B30" s="82" t="s">
        <v>22</v>
      </c>
      <c r="C30" s="326" t="s">
        <v>12</v>
      </c>
      <c r="D30" s="320"/>
      <c r="E30" s="396"/>
      <c r="F30" s="255" t="s">
        <v>12</v>
      </c>
      <c r="G30" s="561"/>
      <c r="H30" s="228"/>
      <c r="I30" s="387" t="s">
        <v>90</v>
      </c>
      <c r="J30" s="320"/>
      <c r="K30" s="407">
        <v>8</v>
      </c>
      <c r="L30" s="406" t="s">
        <v>12</v>
      </c>
      <c r="M30" s="561"/>
      <c r="N30" s="404"/>
      <c r="O30" s="379" t="s">
        <v>91</v>
      </c>
      <c r="P30" s="561" t="s">
        <v>86</v>
      </c>
      <c r="Q30" s="394">
        <v>8</v>
      </c>
      <c r="R30" s="386" t="s">
        <v>92</v>
      </c>
      <c r="S30" s="320"/>
      <c r="T30" s="394">
        <v>8</v>
      </c>
      <c r="W30" s="11"/>
      <c r="X30" s="11"/>
      <c r="Y30" s="10"/>
      <c r="Z30" s="10"/>
    </row>
    <row r="31" spans="1:28" ht="27.6" thickTop="1" thickBot="1" x14ac:dyDescent="0.55000000000000004">
      <c r="A31" s="371">
        <v>21</v>
      </c>
      <c r="B31" s="367" t="s">
        <v>25</v>
      </c>
      <c r="C31" s="392" t="s">
        <v>32</v>
      </c>
      <c r="D31" s="550"/>
      <c r="E31" s="25"/>
      <c r="F31" s="390" t="s">
        <v>93</v>
      </c>
      <c r="G31" s="550"/>
      <c r="H31" s="397">
        <v>8</v>
      </c>
      <c r="I31" s="571" t="s">
        <v>90</v>
      </c>
      <c r="J31" s="550"/>
      <c r="K31" s="550">
        <v>8</v>
      </c>
      <c r="L31" s="377" t="s">
        <v>91</v>
      </c>
      <c r="M31" s="550" t="s">
        <v>86</v>
      </c>
      <c r="N31" s="397">
        <v>8</v>
      </c>
      <c r="O31" s="380" t="s">
        <v>92</v>
      </c>
      <c r="P31" s="550"/>
      <c r="Q31" s="397">
        <v>8</v>
      </c>
      <c r="R31" s="249" t="s">
        <v>12</v>
      </c>
      <c r="S31" s="550"/>
      <c r="T31" s="46"/>
      <c r="W31" s="11"/>
      <c r="X31" s="11"/>
      <c r="Y31" s="10"/>
      <c r="Z31" s="10"/>
    </row>
    <row r="32" spans="1:28" ht="27.6" thickTop="1" thickBot="1" x14ac:dyDescent="0.55000000000000004">
      <c r="A32" s="364">
        <v>22</v>
      </c>
      <c r="B32" s="363" t="s">
        <v>28</v>
      </c>
      <c r="C32" s="376" t="s">
        <v>32</v>
      </c>
      <c r="D32" s="551"/>
      <c r="E32" s="39"/>
      <c r="F32" s="390" t="s">
        <v>93</v>
      </c>
      <c r="G32" s="551"/>
      <c r="H32" s="397">
        <v>8</v>
      </c>
      <c r="I32" s="571" t="s">
        <v>90</v>
      </c>
      <c r="J32" s="551"/>
      <c r="K32" s="551">
        <v>8</v>
      </c>
      <c r="L32" s="378" t="s">
        <v>91</v>
      </c>
      <c r="M32" s="551" t="s">
        <v>86</v>
      </c>
      <c r="N32" s="397">
        <v>8</v>
      </c>
      <c r="O32" s="381" t="s">
        <v>92</v>
      </c>
      <c r="P32" s="551"/>
      <c r="Q32" s="398">
        <v>8</v>
      </c>
      <c r="R32" s="249" t="s">
        <v>12</v>
      </c>
      <c r="S32" s="551"/>
      <c r="T32" s="39"/>
      <c r="W32" s="11"/>
      <c r="X32" s="11"/>
      <c r="Y32" s="10"/>
      <c r="Z32" s="10"/>
    </row>
    <row r="33" spans="1:26" ht="27.6" thickTop="1" thickBot="1" x14ac:dyDescent="0.55000000000000004">
      <c r="A33" s="368">
        <v>23</v>
      </c>
      <c r="B33" s="363" t="s">
        <v>31</v>
      </c>
      <c r="C33" s="376" t="s">
        <v>32</v>
      </c>
      <c r="D33" s="551"/>
      <c r="E33" s="39"/>
      <c r="F33" s="390" t="s">
        <v>93</v>
      </c>
      <c r="G33" s="551"/>
      <c r="H33" s="397">
        <v>8</v>
      </c>
      <c r="I33" s="249" t="s">
        <v>12</v>
      </c>
      <c r="J33" s="551"/>
      <c r="K33" s="551"/>
      <c r="L33" s="378" t="s">
        <v>91</v>
      </c>
      <c r="M33" s="551" t="s">
        <v>86</v>
      </c>
      <c r="N33" s="397">
        <v>8</v>
      </c>
      <c r="O33" s="380" t="s">
        <v>92</v>
      </c>
      <c r="P33" s="551"/>
      <c r="Q33" s="397">
        <v>8</v>
      </c>
      <c r="R33" s="375" t="s">
        <v>90</v>
      </c>
      <c r="S33" s="551"/>
      <c r="T33" s="397">
        <v>8</v>
      </c>
      <c r="W33" s="11"/>
      <c r="X33" s="11"/>
      <c r="Y33" s="10"/>
      <c r="Z33" s="10"/>
    </row>
    <row r="34" spans="1:26" ht="27.6" thickTop="1" thickBot="1" x14ac:dyDescent="0.55000000000000004">
      <c r="A34" s="368">
        <v>24</v>
      </c>
      <c r="B34" s="363" t="s">
        <v>35</v>
      </c>
      <c r="C34" s="376" t="s">
        <v>32</v>
      </c>
      <c r="D34" s="551"/>
      <c r="E34" s="39"/>
      <c r="F34" s="390" t="s">
        <v>93</v>
      </c>
      <c r="G34" s="551"/>
      <c r="H34" s="397">
        <v>8</v>
      </c>
      <c r="I34" s="249" t="s">
        <v>12</v>
      </c>
      <c r="J34" s="551"/>
      <c r="K34" s="551"/>
      <c r="L34" s="377" t="s">
        <v>91</v>
      </c>
      <c r="M34" s="551" t="s">
        <v>86</v>
      </c>
      <c r="N34" s="397">
        <v>8</v>
      </c>
      <c r="O34" s="381" t="s">
        <v>92</v>
      </c>
      <c r="P34" s="558"/>
      <c r="Q34" s="398">
        <v>8</v>
      </c>
      <c r="R34" s="375" t="s">
        <v>90</v>
      </c>
      <c r="S34" s="551"/>
      <c r="T34" s="397">
        <v>8</v>
      </c>
      <c r="W34" s="11"/>
      <c r="X34" s="14"/>
      <c r="Y34" s="10"/>
      <c r="Z34" s="10"/>
    </row>
    <row r="35" spans="1:26" ht="27.6" thickTop="1" thickBot="1" x14ac:dyDescent="0.55000000000000004">
      <c r="A35" s="400">
        <v>25</v>
      </c>
      <c r="B35" s="366" t="s">
        <v>11</v>
      </c>
      <c r="C35" s="401" t="s">
        <v>32</v>
      </c>
      <c r="D35" s="552"/>
      <c r="E35" s="17"/>
      <c r="F35" s="390" t="s">
        <v>93</v>
      </c>
      <c r="G35" s="552"/>
      <c r="H35" s="397">
        <v>8</v>
      </c>
      <c r="I35" s="384" t="s">
        <v>92</v>
      </c>
      <c r="J35" s="572"/>
      <c r="K35" s="399">
        <v>8</v>
      </c>
      <c r="L35" s="379" t="s">
        <v>91</v>
      </c>
      <c r="M35" s="552" t="s">
        <v>86</v>
      </c>
      <c r="N35" s="399">
        <v>8</v>
      </c>
      <c r="O35" s="246" t="s">
        <v>12</v>
      </c>
      <c r="P35" s="552"/>
      <c r="Q35" s="238"/>
      <c r="R35" s="382" t="s">
        <v>90</v>
      </c>
      <c r="S35" s="552"/>
      <c r="T35" s="399">
        <v>8</v>
      </c>
      <c r="W35" s="11"/>
      <c r="X35" s="11"/>
      <c r="Y35" s="10"/>
      <c r="Z35" s="10"/>
    </row>
    <row r="36" spans="1:26" ht="27.6" thickTop="1" thickBot="1" x14ac:dyDescent="0.55000000000000004">
      <c r="A36" s="83">
        <v>26</v>
      </c>
      <c r="B36" s="83" t="s">
        <v>19</v>
      </c>
      <c r="C36" s="244" t="s">
        <v>12</v>
      </c>
      <c r="D36" s="560"/>
      <c r="E36" s="225"/>
      <c r="F36" s="389" t="s">
        <v>91</v>
      </c>
      <c r="G36" s="319"/>
      <c r="H36" s="393">
        <v>8</v>
      </c>
      <c r="I36" s="385" t="s">
        <v>92</v>
      </c>
      <c r="J36" s="319"/>
      <c r="K36" s="395">
        <v>8</v>
      </c>
      <c r="L36" s="244" t="s">
        <v>12</v>
      </c>
      <c r="M36" s="560" t="s">
        <v>86</v>
      </c>
      <c r="N36" s="393"/>
      <c r="O36" s="244" t="s">
        <v>12</v>
      </c>
      <c r="P36" s="560"/>
      <c r="Q36" s="225"/>
      <c r="R36" s="383" t="s">
        <v>90</v>
      </c>
      <c r="S36" s="560"/>
      <c r="T36" s="393">
        <v>8</v>
      </c>
      <c r="W36" s="11"/>
      <c r="X36" s="11"/>
      <c r="Y36" s="10"/>
      <c r="Z36" s="10"/>
    </row>
    <row r="37" spans="1:26" ht="27.6" thickTop="1" thickBot="1" x14ac:dyDescent="0.55000000000000004">
      <c r="A37" s="82">
        <v>27</v>
      </c>
      <c r="B37" s="82" t="s">
        <v>22</v>
      </c>
      <c r="C37" s="255" t="s">
        <v>12</v>
      </c>
      <c r="D37" s="561"/>
      <c r="E37" s="228"/>
      <c r="F37" s="255" t="s">
        <v>12</v>
      </c>
      <c r="G37" s="561"/>
      <c r="H37" s="228"/>
      <c r="I37" s="386" t="s">
        <v>92</v>
      </c>
      <c r="J37" s="320"/>
      <c r="K37" s="394">
        <v>8</v>
      </c>
      <c r="L37" s="379" t="s">
        <v>91</v>
      </c>
      <c r="M37" s="561" t="s">
        <v>86</v>
      </c>
      <c r="N37" s="394">
        <v>8</v>
      </c>
      <c r="O37" s="387" t="s">
        <v>90</v>
      </c>
      <c r="P37" s="320"/>
      <c r="Q37" s="407">
        <v>8</v>
      </c>
      <c r="R37" s="406" t="s">
        <v>12</v>
      </c>
      <c r="S37" s="561"/>
      <c r="T37" s="404"/>
      <c r="W37" s="11"/>
      <c r="X37" s="11"/>
      <c r="Y37" s="10"/>
      <c r="Z37" s="10"/>
    </row>
    <row r="38" spans="1:26" ht="27.6" thickTop="1" thickBot="1" x14ac:dyDescent="0.55000000000000004">
      <c r="A38" s="371">
        <v>28</v>
      </c>
      <c r="B38" s="367" t="s">
        <v>25</v>
      </c>
      <c r="C38" s="392" t="s">
        <v>32</v>
      </c>
      <c r="D38" s="550"/>
      <c r="E38" s="227"/>
      <c r="F38" s="390" t="s">
        <v>93</v>
      </c>
      <c r="G38" s="550"/>
      <c r="H38" s="397">
        <v>8</v>
      </c>
      <c r="I38" s="249" t="s">
        <v>12</v>
      </c>
      <c r="J38" s="550"/>
      <c r="K38" s="227"/>
      <c r="L38" s="380" t="s">
        <v>92</v>
      </c>
      <c r="M38" s="550"/>
      <c r="N38" s="397">
        <v>8</v>
      </c>
      <c r="O38" s="571" t="s">
        <v>90</v>
      </c>
      <c r="P38" s="550"/>
      <c r="Q38" s="550">
        <v>8</v>
      </c>
      <c r="R38" s="377" t="s">
        <v>91</v>
      </c>
      <c r="S38" s="550" t="s">
        <v>86</v>
      </c>
      <c r="T38" s="397">
        <v>8</v>
      </c>
      <c r="W38" s="11"/>
      <c r="X38" s="11"/>
      <c r="Y38" s="10"/>
      <c r="Z38" s="10"/>
    </row>
    <row r="39" spans="1:26" ht="27" thickTop="1" thickBot="1" x14ac:dyDescent="0.55000000000000004">
      <c r="A39" s="364">
        <v>29</v>
      </c>
      <c r="B39" s="363" t="s">
        <v>28</v>
      </c>
      <c r="C39" s="376" t="s">
        <v>32</v>
      </c>
      <c r="D39" s="551"/>
      <c r="E39" s="227"/>
      <c r="F39" s="390" t="s">
        <v>93</v>
      </c>
      <c r="G39" s="551"/>
      <c r="H39" s="397">
        <v>8</v>
      </c>
      <c r="I39" s="490" t="s">
        <v>93</v>
      </c>
      <c r="J39" s="551"/>
      <c r="K39" s="397">
        <v>8</v>
      </c>
      <c r="L39" s="381" t="s">
        <v>92</v>
      </c>
      <c r="M39" s="551"/>
      <c r="N39" s="398">
        <v>8</v>
      </c>
      <c r="O39" s="571" t="s">
        <v>90</v>
      </c>
      <c r="P39" s="551"/>
      <c r="Q39" s="551">
        <v>8</v>
      </c>
      <c r="R39" s="378" t="s">
        <v>91</v>
      </c>
      <c r="S39" s="551" t="s">
        <v>86</v>
      </c>
      <c r="T39" s="397">
        <v>8</v>
      </c>
      <c r="W39" s="11"/>
      <c r="X39" s="11"/>
      <c r="Y39" s="10"/>
      <c r="Z39" s="10"/>
    </row>
    <row r="40" spans="1:26" ht="27.6" thickTop="1" thickBot="1" x14ac:dyDescent="0.55000000000000004">
      <c r="A40" s="368">
        <v>30</v>
      </c>
      <c r="B40" s="363" t="s">
        <v>31</v>
      </c>
      <c r="C40" s="376" t="s">
        <v>32</v>
      </c>
      <c r="D40" s="551"/>
      <c r="E40" s="227"/>
      <c r="F40" s="390" t="s">
        <v>93</v>
      </c>
      <c r="G40" s="551"/>
      <c r="H40" s="397">
        <v>8</v>
      </c>
      <c r="I40" s="490" t="s">
        <v>93</v>
      </c>
      <c r="J40" s="551"/>
      <c r="K40" s="397">
        <v>8</v>
      </c>
      <c r="L40" s="380" t="s">
        <v>92</v>
      </c>
      <c r="M40" s="551"/>
      <c r="N40" s="397">
        <v>8</v>
      </c>
      <c r="O40" s="249" t="s">
        <v>12</v>
      </c>
      <c r="P40" s="551"/>
      <c r="Q40" s="370"/>
      <c r="R40" s="378" t="s">
        <v>91</v>
      </c>
      <c r="S40" s="551" t="s">
        <v>86</v>
      </c>
      <c r="T40" s="397">
        <v>8</v>
      </c>
      <c r="X40" s="14"/>
      <c r="Y40" s="10"/>
      <c r="Z40" s="10"/>
    </row>
    <row r="41" spans="1:26" ht="27.6" thickTop="1" thickBot="1" x14ac:dyDescent="0.55000000000000004">
      <c r="A41" s="364">
        <v>31</v>
      </c>
      <c r="B41" s="363" t="s">
        <v>35</v>
      </c>
      <c r="C41" s="376" t="s">
        <v>32</v>
      </c>
      <c r="D41" s="551"/>
      <c r="E41" s="227"/>
      <c r="F41" s="390" t="s">
        <v>93</v>
      </c>
      <c r="G41" s="551"/>
      <c r="H41" s="397">
        <v>8</v>
      </c>
      <c r="I41" s="490" t="s">
        <v>93</v>
      </c>
      <c r="J41" s="551"/>
      <c r="K41" s="397">
        <v>8</v>
      </c>
      <c r="L41" s="381" t="s">
        <v>92</v>
      </c>
      <c r="M41" s="558"/>
      <c r="N41" s="398">
        <v>8</v>
      </c>
      <c r="O41" s="249" t="s">
        <v>12</v>
      </c>
      <c r="P41" s="558"/>
      <c r="Q41" s="405"/>
      <c r="R41" s="377" t="s">
        <v>91</v>
      </c>
      <c r="S41" s="551" t="s">
        <v>86</v>
      </c>
      <c r="T41" s="397">
        <v>8</v>
      </c>
      <c r="X41" s="11"/>
      <c r="Y41" s="10"/>
    </row>
    <row r="42" spans="1:26" ht="28.8" thickTop="1" thickBot="1" x14ac:dyDescent="0.55000000000000004">
      <c r="E42" s="12">
        <f>SUM(E12:E41)</f>
        <v>120</v>
      </c>
      <c r="H42" s="12">
        <f>SUM(H11:H41)</f>
        <v>112</v>
      </c>
      <c r="K42" s="12">
        <f>SUM(K11:K41)</f>
        <v>184</v>
      </c>
      <c r="N42" s="12">
        <f>SUM(N11:N41)</f>
        <v>152</v>
      </c>
      <c r="Q42" s="12">
        <f>SUM(Q11:Q41)</f>
        <v>168</v>
      </c>
      <c r="T42" s="12">
        <f>SUM(T11:T41)</f>
        <v>184</v>
      </c>
      <c r="X42" s="11"/>
      <c r="Y42" s="10"/>
    </row>
    <row r="43" spans="1:26" ht="26.4" thickTop="1" x14ac:dyDescent="0.5">
      <c r="X43" s="11"/>
      <c r="Y43" s="10"/>
    </row>
    <row r="44" spans="1:26" ht="25.8" x14ac:dyDescent="0.5">
      <c r="X44" s="11"/>
      <c r="Y44" s="10"/>
    </row>
    <row r="45" spans="1:26" ht="25.8" x14ac:dyDescent="0.5">
      <c r="X45" s="11"/>
      <c r="Y45" s="10"/>
    </row>
    <row r="46" spans="1:26" ht="36.6" x14ac:dyDescent="0.5">
      <c r="B46" s="674" t="s">
        <v>97</v>
      </c>
      <c r="C46" s="358" t="s">
        <v>32</v>
      </c>
      <c r="D46" s="358"/>
      <c r="E46" s="358">
        <f>COUNTIF(C11:C41,"FERIE")*8</f>
        <v>72</v>
      </c>
      <c r="F46" s="358" t="s">
        <v>32</v>
      </c>
      <c r="G46" s="358"/>
      <c r="H46" s="358">
        <f>COUNTIF(F11:F41,"FERIE")*8</f>
        <v>80</v>
      </c>
      <c r="I46" s="358" t="s">
        <v>32</v>
      </c>
      <c r="J46" s="360"/>
      <c r="K46" s="358">
        <f>COUNTIF(I11:I41,"FERIE")*8</f>
        <v>0</v>
      </c>
      <c r="L46" s="358" t="s">
        <v>32</v>
      </c>
      <c r="M46" s="358"/>
      <c r="N46" s="358">
        <f>COUNTIF(L11:L41,"FERIE")*8</f>
        <v>32</v>
      </c>
      <c r="O46" s="358" t="s">
        <v>32</v>
      </c>
      <c r="P46" s="358"/>
      <c r="Q46" s="358">
        <f>COUNTIF(O11:O41,"FERIE")*8</f>
        <v>0</v>
      </c>
      <c r="R46" s="358" t="s">
        <v>32</v>
      </c>
      <c r="S46" s="358"/>
      <c r="T46" s="358">
        <f>COUNTIF(R11:R41,"FERIE")*8</f>
        <v>0</v>
      </c>
      <c r="X46" s="11"/>
      <c r="Y46" s="10"/>
    </row>
    <row r="47" spans="1:26" ht="36.6" x14ac:dyDescent="0.5">
      <c r="B47" s="675"/>
      <c r="C47" s="358" t="s">
        <v>55</v>
      </c>
      <c r="D47" s="358"/>
      <c r="E47" s="358">
        <f>COUNTIF(C11:C41,"riposo")</f>
        <v>5</v>
      </c>
      <c r="F47" s="358" t="s">
        <v>55</v>
      </c>
      <c r="G47" s="358"/>
      <c r="H47" s="358">
        <f>COUNTIF(F11:F41,"riposo")</f>
        <v>7</v>
      </c>
      <c r="I47" s="358" t="s">
        <v>55</v>
      </c>
      <c r="J47" s="360"/>
      <c r="K47" s="358">
        <f>COUNTIF(I11:I41,"riposo")</f>
        <v>8</v>
      </c>
      <c r="L47" s="358" t="s">
        <v>55</v>
      </c>
      <c r="M47" s="358"/>
      <c r="N47" s="358">
        <f>COUNTIF(L11:L41,"riposo")</f>
        <v>8</v>
      </c>
      <c r="O47" s="358" t="s">
        <v>55</v>
      </c>
      <c r="P47" s="358"/>
      <c r="Q47" s="358">
        <f>COUNTIF(O11:O41,"riposo")</f>
        <v>10</v>
      </c>
      <c r="R47" s="358" t="s">
        <v>55</v>
      </c>
      <c r="S47" s="358"/>
      <c r="T47" s="358">
        <f>COUNTIF(R11:R41,"riposo")</f>
        <v>8</v>
      </c>
      <c r="X47" s="11"/>
      <c r="Y47" s="10"/>
    </row>
    <row r="48" spans="1:26" ht="36.6" x14ac:dyDescent="0.3">
      <c r="B48" s="675"/>
      <c r="C48" s="358" t="s">
        <v>56</v>
      </c>
      <c r="D48" s="358"/>
      <c r="E48" s="358">
        <f>+E42-E46</f>
        <v>48</v>
      </c>
      <c r="F48" s="358" t="s">
        <v>56</v>
      </c>
      <c r="G48" s="358"/>
      <c r="H48" s="358">
        <f>+H42-H46</f>
        <v>32</v>
      </c>
      <c r="I48" s="358" t="s">
        <v>56</v>
      </c>
      <c r="J48" s="360"/>
      <c r="K48" s="358">
        <f>+K42-K46</f>
        <v>184</v>
      </c>
      <c r="L48" s="358" t="s">
        <v>56</v>
      </c>
      <c r="M48" s="358"/>
      <c r="N48" s="358">
        <f>+N42-N46</f>
        <v>120</v>
      </c>
      <c r="O48" s="358" t="s">
        <v>56</v>
      </c>
      <c r="P48" s="358"/>
      <c r="Q48" s="358">
        <f>+Q42-Q46</f>
        <v>168</v>
      </c>
      <c r="R48" s="358" t="s">
        <v>56</v>
      </c>
      <c r="S48" s="358"/>
      <c r="T48" s="358">
        <f>+T42-T46</f>
        <v>184</v>
      </c>
    </row>
    <row r="49" spans="2:20" ht="36.6" x14ac:dyDescent="0.3">
      <c r="B49" s="675"/>
      <c r="C49" s="358" t="s">
        <v>88</v>
      </c>
      <c r="D49" s="360"/>
      <c r="E49" s="358">
        <f>COUNTIF(D11:D41,"R")</f>
        <v>2</v>
      </c>
      <c r="F49" s="358" t="s">
        <v>88</v>
      </c>
      <c r="G49" s="360"/>
      <c r="H49" s="358">
        <f>COUNTIF(G11:G41,"R")</f>
        <v>4</v>
      </c>
      <c r="I49" s="358" t="s">
        <v>88</v>
      </c>
      <c r="J49" s="360"/>
      <c r="K49" s="358">
        <f>COUNTIF(J11:J41,"R")</f>
        <v>7</v>
      </c>
      <c r="L49" s="358" t="s">
        <v>88</v>
      </c>
      <c r="M49" s="360"/>
      <c r="N49" s="358">
        <f>COUNTIF(M11:M41,"R")</f>
        <v>7</v>
      </c>
      <c r="O49" s="358" t="s">
        <v>88</v>
      </c>
      <c r="P49" s="360"/>
      <c r="Q49" s="358">
        <f>COUNTIF(P11:P41,"R")</f>
        <v>7</v>
      </c>
      <c r="R49" s="358" t="s">
        <v>88</v>
      </c>
      <c r="S49" s="360"/>
      <c r="T49" s="358">
        <f>COUNTIF(S11:S41,"R")</f>
        <v>4</v>
      </c>
    </row>
    <row r="50" spans="2:20" ht="36.6" x14ac:dyDescent="0.3">
      <c r="B50" s="675"/>
      <c r="C50" s="358" t="s">
        <v>98</v>
      </c>
      <c r="D50" s="360"/>
      <c r="E50" s="358">
        <f>COUNTIF(C11:C41,"22*")</f>
        <v>3</v>
      </c>
      <c r="F50" s="358" t="s">
        <v>98</v>
      </c>
      <c r="G50" s="360"/>
      <c r="H50" s="358">
        <f>COUNTIF(F11:F41,"2*")</f>
        <v>0</v>
      </c>
      <c r="I50" s="358" t="s">
        <v>98</v>
      </c>
      <c r="J50" s="360"/>
      <c r="K50" s="358">
        <f>COUNTIF(I11:I41,"2*")</f>
        <v>7</v>
      </c>
      <c r="L50" s="358" t="s">
        <v>98</v>
      </c>
      <c r="M50" s="360"/>
      <c r="N50" s="358">
        <f>COUNTIF(L11:L41,"2*")</f>
        <v>7</v>
      </c>
      <c r="O50" s="358" t="s">
        <v>98</v>
      </c>
      <c r="P50" s="360"/>
      <c r="Q50" s="358">
        <f>COUNTIF(O11:O41,"2*")</f>
        <v>7</v>
      </c>
      <c r="R50" s="358" t="s">
        <v>98</v>
      </c>
      <c r="S50" s="360"/>
      <c r="T50" s="358">
        <f>COUNTIF(R11:R41,"2*")</f>
        <v>7</v>
      </c>
    </row>
    <row r="51" spans="2:20" ht="36.6" x14ac:dyDescent="0.3">
      <c r="B51" s="675"/>
      <c r="C51" s="358" t="s">
        <v>99</v>
      </c>
      <c r="D51" s="360"/>
      <c r="E51" s="358">
        <f>(COUNTIF(C11:C41,"malattia"))*8</f>
        <v>0</v>
      </c>
      <c r="F51" s="358" t="s">
        <v>99</v>
      </c>
      <c r="G51" s="360"/>
      <c r="H51" s="358">
        <f>(COUNTIF(F11:F41,"malattia"))*8</f>
        <v>0</v>
      </c>
      <c r="I51" s="358" t="s">
        <v>99</v>
      </c>
      <c r="J51" s="360"/>
      <c r="K51" s="358">
        <f>(COUNTIF(I11:I41,"malattia"))*8</f>
        <v>0</v>
      </c>
      <c r="L51" s="358" t="s">
        <v>99</v>
      </c>
      <c r="M51" s="360"/>
      <c r="N51" s="358">
        <f>(COUNTIF(L11:L41,"malattia"))*8</f>
        <v>0</v>
      </c>
      <c r="O51" s="358" t="s">
        <v>99</v>
      </c>
      <c r="P51" s="360"/>
      <c r="Q51" s="358">
        <f>(COUNTIF(O11:O41,"malattia"))*8</f>
        <v>0</v>
      </c>
      <c r="R51" s="358" t="s">
        <v>99</v>
      </c>
      <c r="S51" s="360"/>
      <c r="T51" s="358">
        <f>(COUNTIF(R11:R41,"malattia"))*8</f>
        <v>0</v>
      </c>
    </row>
    <row r="52" spans="2:20" ht="37.200000000000003" thickBot="1" x14ac:dyDescent="0.35">
      <c r="B52" s="690"/>
      <c r="C52" s="361" t="s">
        <v>100</v>
      </c>
      <c r="D52" s="361"/>
      <c r="E52" s="361">
        <f>+E42-$B$54</f>
        <v>-56</v>
      </c>
      <c r="F52" s="361"/>
      <c r="G52" s="361"/>
      <c r="H52" s="361">
        <f>+H42-$B$54</f>
        <v>-64</v>
      </c>
      <c r="I52" s="361"/>
      <c r="J52" s="361"/>
      <c r="K52" s="361">
        <f>+K42-$B$54</f>
        <v>8</v>
      </c>
      <c r="L52" s="361"/>
      <c r="M52" s="361"/>
      <c r="N52" s="361">
        <f>+N42-$B$54</f>
        <v>-24</v>
      </c>
      <c r="O52" s="361"/>
      <c r="P52" s="361"/>
      <c r="Q52" s="361">
        <f>+Q42-$B$54</f>
        <v>-8</v>
      </c>
      <c r="R52" s="361"/>
      <c r="S52" s="361"/>
      <c r="T52" s="361">
        <f>+T42-$B$54</f>
        <v>8</v>
      </c>
    </row>
    <row r="53" spans="2:20" ht="37.799999999999997" thickTop="1" thickBot="1" x14ac:dyDescent="0.35">
      <c r="B53" s="356">
        <f>+E42+H42+K42+N42+Q42+T42</f>
        <v>920</v>
      </c>
      <c r="C53" s="360"/>
      <c r="D53" s="360"/>
      <c r="E53" s="360"/>
      <c r="F53" s="360"/>
      <c r="G53" s="360"/>
      <c r="H53" s="360"/>
      <c r="I53" s="360"/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</row>
    <row r="54" spans="2:20" ht="37.200000000000003" thickTop="1" x14ac:dyDescent="0.7">
      <c r="B54" s="357">
        <f>((COUNTA($B$11:$B$41)*8)-(9*8))</f>
        <v>176</v>
      </c>
    </row>
  </sheetData>
  <sheetProtection formatCells="0" formatColumns="0" formatRows="0" insertColumns="0" insertRows="0" insertHyperlinks="0" deleteColumns="0" deleteRows="0" sort="0" autoFilter="0" pivotTables="0"/>
  <mergeCells count="22">
    <mergeCell ref="S7:S8"/>
    <mergeCell ref="O7:O8"/>
    <mergeCell ref="B46:B52"/>
    <mergeCell ref="P7:P8"/>
    <mergeCell ref="Q7:Q8"/>
    <mergeCell ref="R7:R8"/>
    <mergeCell ref="A5:T5"/>
    <mergeCell ref="A6:B8"/>
    <mergeCell ref="C6:T6"/>
    <mergeCell ref="C7:C8"/>
    <mergeCell ref="D7:D8"/>
    <mergeCell ref="E7:E8"/>
    <mergeCell ref="F7:F8"/>
    <mergeCell ref="G7:G8"/>
    <mergeCell ref="H7:H8"/>
    <mergeCell ref="I7:I8"/>
    <mergeCell ref="T7:T8"/>
    <mergeCell ref="J7:J8"/>
    <mergeCell ref="K7:K8"/>
    <mergeCell ref="L7:L8"/>
    <mergeCell ref="M7:M8"/>
    <mergeCell ref="N7:N8"/>
  </mergeCells>
  <conditionalFormatting sqref="E52 G52:H52 J52:K52 M52:N52 P52:Q52 S52:T52">
    <cfRule type="cellIs" dxfId="7" priority="1" operator="greaterThan">
      <formula>0</formula>
    </cfRule>
    <cfRule type="cellIs" dxfId="6" priority="2" operator="lessThan">
      <formula>0</formula>
    </cfRule>
  </conditionalFormatting>
  <pageMargins left="0.7" right="0.7" top="0.75" bottom="0.75" header="0.3" footer="0.3"/>
  <pageSetup paperSize="8" scale="46" orientation="landscape" r:id="rId1"/>
  <colBreaks count="1" manualBreakCount="1">
    <brk id="21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AF54"/>
  <sheetViews>
    <sheetView zoomScale="40" zoomScaleNormal="40" zoomScaleSheetLayoutView="30" workbookViewId="0">
      <pane ySplit="8" topLeftCell="A27" activePane="bottomLeft" state="frozen"/>
      <selection activeCell="B1" sqref="B1"/>
      <selection pane="bottomLeft" activeCell="I38" sqref="I38"/>
    </sheetView>
  </sheetViews>
  <sheetFormatPr defaultColWidth="14.44140625" defaultRowHeight="14.4" x14ac:dyDescent="0.3"/>
  <cols>
    <col min="1" max="2" width="21.6640625" customWidth="1"/>
    <col min="3" max="3" width="30.6640625" customWidth="1"/>
    <col min="4" max="5" width="14.44140625" customWidth="1"/>
    <col min="6" max="6" width="30.6640625" customWidth="1"/>
    <col min="7" max="8" width="14.44140625" customWidth="1"/>
    <col min="9" max="9" width="32.6640625" customWidth="1"/>
    <col min="10" max="10" width="14.44140625" customWidth="1"/>
    <col min="11" max="11" width="15.5546875" customWidth="1"/>
    <col min="12" max="12" width="31.44140625" customWidth="1"/>
    <col min="13" max="13" width="14.44140625" customWidth="1"/>
    <col min="14" max="14" width="14.6640625" customWidth="1"/>
    <col min="15" max="15" width="29.33203125" customWidth="1"/>
    <col min="16" max="16" width="14.44140625" customWidth="1"/>
    <col min="17" max="17" width="15.5546875" customWidth="1"/>
    <col min="18" max="18" width="34.44140625" customWidth="1"/>
    <col min="19" max="19" width="14.44140625" customWidth="1"/>
    <col min="20" max="20" width="15.5546875" customWidth="1"/>
    <col min="21" max="22" width="9.109375" customWidth="1"/>
    <col min="23" max="24" width="33.88671875" customWidth="1"/>
    <col min="25" max="25" width="67.44140625" customWidth="1"/>
    <col min="26" max="32" width="9.109375" customWidth="1"/>
  </cols>
  <sheetData>
    <row r="2" spans="1:32" ht="24" x14ac:dyDescent="0.45">
      <c r="A2" s="79"/>
      <c r="B2" s="79"/>
      <c r="C2" s="78"/>
      <c r="D2" s="78"/>
      <c r="E2" s="79" t="s">
        <v>136</v>
      </c>
      <c r="F2" s="78"/>
      <c r="G2" s="78"/>
      <c r="H2" s="79"/>
      <c r="I2" s="79"/>
      <c r="J2" s="79"/>
      <c r="K2" s="78"/>
      <c r="L2" s="78"/>
      <c r="M2" s="78"/>
      <c r="N2" s="78"/>
      <c r="O2" s="79"/>
      <c r="P2" s="79"/>
      <c r="Q2" s="78"/>
      <c r="R2" s="79"/>
      <c r="S2" s="79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</row>
    <row r="3" spans="1:32" ht="24" x14ac:dyDescent="0.45">
      <c r="A3" s="79"/>
      <c r="B3" s="79"/>
      <c r="C3" s="78"/>
      <c r="D3" s="78"/>
      <c r="E3" s="79" t="s">
        <v>1</v>
      </c>
      <c r="F3" s="78"/>
      <c r="G3" s="78"/>
      <c r="H3" s="79"/>
      <c r="I3" s="79"/>
      <c r="J3" s="79"/>
      <c r="K3" s="78"/>
      <c r="L3" s="78"/>
      <c r="M3" s="78"/>
      <c r="N3" s="78"/>
      <c r="O3" s="79"/>
      <c r="P3" s="79"/>
      <c r="Q3" s="78"/>
      <c r="R3" s="79"/>
      <c r="S3" s="79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2" ht="15" thickBot="1" x14ac:dyDescent="0.35"/>
    <row r="5" spans="1:32" ht="54.6" thickTop="1" thickBot="1" x14ac:dyDescent="0.35">
      <c r="A5" s="653" t="s">
        <v>2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 s="654"/>
      <c r="N5" s="654"/>
      <c r="O5" s="654"/>
      <c r="P5" s="654"/>
      <c r="Q5" s="654"/>
      <c r="R5" s="654"/>
      <c r="S5" s="654"/>
      <c r="T5" s="655"/>
    </row>
    <row r="6" spans="1:32" ht="27" thickTop="1" thickBot="1" x14ac:dyDescent="0.35">
      <c r="A6" s="656" t="s">
        <v>114</v>
      </c>
      <c r="B6" s="657"/>
      <c r="C6" s="660"/>
      <c r="D6" s="660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2"/>
    </row>
    <row r="7" spans="1:32" ht="29.4" customHeight="1" thickTop="1" x14ac:dyDescent="0.3">
      <c r="A7" s="658"/>
      <c r="B7" s="658"/>
      <c r="C7" s="683" t="s">
        <v>137</v>
      </c>
      <c r="D7" s="669" t="s">
        <v>85</v>
      </c>
      <c r="E7" s="649" t="s">
        <v>138</v>
      </c>
      <c r="F7" s="685" t="s">
        <v>139</v>
      </c>
      <c r="G7" s="669" t="s">
        <v>85</v>
      </c>
      <c r="H7" s="649" t="s">
        <v>138</v>
      </c>
      <c r="I7" s="686" t="s">
        <v>140</v>
      </c>
      <c r="J7" s="669" t="s">
        <v>85</v>
      </c>
      <c r="K7" s="649" t="s">
        <v>138</v>
      </c>
      <c r="L7" s="687" t="s">
        <v>141</v>
      </c>
      <c r="M7" s="669" t="s">
        <v>85</v>
      </c>
      <c r="N7" s="649" t="s">
        <v>138</v>
      </c>
      <c r="O7" s="689" t="s">
        <v>142</v>
      </c>
      <c r="P7" s="669" t="s">
        <v>85</v>
      </c>
      <c r="Q7" s="649" t="s">
        <v>138</v>
      </c>
      <c r="R7" s="666" t="s">
        <v>143</v>
      </c>
      <c r="S7" s="669" t="s">
        <v>85</v>
      </c>
      <c r="T7" s="649" t="s">
        <v>138</v>
      </c>
      <c r="W7" s="355"/>
    </row>
    <row r="8" spans="1:32" ht="24" customHeight="1" thickBot="1" x14ac:dyDescent="0.5">
      <c r="A8" s="659"/>
      <c r="B8" s="659"/>
      <c r="C8" s="684"/>
      <c r="D8" s="677"/>
      <c r="E8" s="650"/>
      <c r="F8" s="684"/>
      <c r="G8" s="677"/>
      <c r="H8" s="650"/>
      <c r="I8" s="684"/>
      <c r="J8" s="677"/>
      <c r="K8" s="650"/>
      <c r="L8" s="688"/>
      <c r="M8" s="677"/>
      <c r="N8" s="650"/>
      <c r="O8" s="684"/>
      <c r="P8" s="677"/>
      <c r="Q8" s="650"/>
      <c r="R8" s="691"/>
      <c r="S8" s="677"/>
      <c r="T8" s="650"/>
      <c r="Z8" s="78"/>
      <c r="AA8" s="78"/>
      <c r="AB8" s="78"/>
    </row>
    <row r="9" spans="1:32" ht="15" thickTop="1" x14ac:dyDescent="0.3"/>
    <row r="10" spans="1:32" ht="26.4" thickBot="1" x14ac:dyDescent="0.55000000000000004">
      <c r="V10" s="11"/>
      <c r="W10" s="11"/>
      <c r="X10" s="11"/>
      <c r="Y10" s="11"/>
      <c r="Z10" s="11"/>
      <c r="AA10" s="11"/>
      <c r="AB10" s="11"/>
    </row>
    <row r="11" spans="1:32" ht="27.6" thickTop="1" thickBot="1" x14ac:dyDescent="0.55000000000000004">
      <c r="A11" s="400">
        <v>1</v>
      </c>
      <c r="B11" s="366" t="s">
        <v>11</v>
      </c>
      <c r="C11" s="401" t="s">
        <v>32</v>
      </c>
      <c r="D11" s="552"/>
      <c r="E11" s="552"/>
      <c r="F11" s="391" t="s">
        <v>93</v>
      </c>
      <c r="G11" s="552"/>
      <c r="H11" s="399">
        <v>8</v>
      </c>
      <c r="I11" s="388" t="s">
        <v>91</v>
      </c>
      <c r="J11" s="552"/>
      <c r="K11" s="416"/>
      <c r="L11" s="246" t="s">
        <v>12</v>
      </c>
      <c r="M11" s="552"/>
      <c r="N11" s="238"/>
      <c r="O11" s="384" t="s">
        <v>92</v>
      </c>
      <c r="P11" s="572"/>
      <c r="Q11" s="399">
        <v>8</v>
      </c>
      <c r="R11" s="243" t="s">
        <v>12</v>
      </c>
      <c r="S11" s="552" t="s">
        <v>86</v>
      </c>
      <c r="T11" s="417"/>
      <c r="V11" s="11"/>
      <c r="W11" s="11"/>
      <c r="X11" s="11"/>
      <c r="Y11" s="11"/>
      <c r="Z11" s="11"/>
      <c r="AA11" s="11"/>
      <c r="AB11" s="11"/>
    </row>
    <row r="12" spans="1:32" ht="27.6" thickTop="1" thickBot="1" x14ac:dyDescent="0.55000000000000004">
      <c r="A12" s="444">
        <v>2</v>
      </c>
      <c r="B12" s="402" t="s">
        <v>19</v>
      </c>
      <c r="C12" s="420" t="s">
        <v>12</v>
      </c>
      <c r="D12" s="574"/>
      <c r="E12" s="574"/>
      <c r="F12" s="421" t="s">
        <v>12</v>
      </c>
      <c r="G12" s="574"/>
      <c r="H12" s="422"/>
      <c r="I12" s="423" t="s">
        <v>91</v>
      </c>
      <c r="J12" s="574"/>
      <c r="K12" s="424"/>
      <c r="L12" s="421" t="s">
        <v>12</v>
      </c>
      <c r="M12" s="574"/>
      <c r="N12" s="422"/>
      <c r="O12" s="425" t="s">
        <v>92</v>
      </c>
      <c r="P12" s="426"/>
      <c r="Q12" s="427">
        <v>8</v>
      </c>
      <c r="R12" s="421" t="s">
        <v>12</v>
      </c>
      <c r="S12" s="575" t="s">
        <v>86</v>
      </c>
      <c r="T12" s="428"/>
      <c r="V12" s="11"/>
      <c r="W12" s="11"/>
      <c r="X12" s="11"/>
      <c r="Y12" s="11"/>
      <c r="Z12" s="11"/>
      <c r="AA12" s="11"/>
      <c r="AB12" s="11"/>
    </row>
    <row r="13" spans="1:32" ht="27.6" thickTop="1" thickBot="1" x14ac:dyDescent="0.55000000000000004">
      <c r="A13" s="446">
        <v>3</v>
      </c>
      <c r="B13" s="403" t="s">
        <v>22</v>
      </c>
      <c r="C13" s="429" t="s">
        <v>12</v>
      </c>
      <c r="D13" s="576"/>
      <c r="E13" s="430"/>
      <c r="F13" s="431" t="s">
        <v>12</v>
      </c>
      <c r="G13" s="576"/>
      <c r="H13" s="432"/>
      <c r="I13" s="431" t="s">
        <v>12</v>
      </c>
      <c r="J13" s="433"/>
      <c r="K13" s="434"/>
      <c r="L13" s="435" t="s">
        <v>90</v>
      </c>
      <c r="M13" s="436"/>
      <c r="N13" s="437">
        <v>8</v>
      </c>
      <c r="O13" s="438" t="s">
        <v>92</v>
      </c>
      <c r="P13" s="436"/>
      <c r="Q13" s="439">
        <v>8</v>
      </c>
      <c r="R13" s="440" t="s">
        <v>91</v>
      </c>
      <c r="S13" s="576" t="s">
        <v>86</v>
      </c>
      <c r="T13" s="441">
        <v>8</v>
      </c>
      <c r="V13" s="11"/>
      <c r="W13" s="11"/>
      <c r="X13" s="11"/>
      <c r="Y13" s="11"/>
      <c r="Z13" s="11"/>
      <c r="AA13" s="11"/>
      <c r="AB13" s="11"/>
    </row>
    <row r="14" spans="1:32" ht="27.6" thickTop="1" thickBot="1" x14ac:dyDescent="0.55000000000000004">
      <c r="A14" s="371">
        <v>4</v>
      </c>
      <c r="B14" s="367" t="s">
        <v>25</v>
      </c>
      <c r="C14" s="392" t="s">
        <v>32</v>
      </c>
      <c r="D14" s="289"/>
      <c r="E14" s="418"/>
      <c r="F14" s="390" t="s">
        <v>93</v>
      </c>
      <c r="G14" s="550" t="s">
        <v>86</v>
      </c>
      <c r="H14" s="397">
        <v>8</v>
      </c>
      <c r="I14" s="377" t="s">
        <v>91</v>
      </c>
      <c r="J14" s="550"/>
      <c r="K14" s="397">
        <v>8</v>
      </c>
      <c r="L14" s="577" t="s">
        <v>90</v>
      </c>
      <c r="M14" s="550"/>
      <c r="N14" s="550">
        <v>8</v>
      </c>
      <c r="O14" s="249" t="s">
        <v>12</v>
      </c>
      <c r="P14" s="289"/>
      <c r="Q14" s="370"/>
      <c r="R14" s="380" t="s">
        <v>92</v>
      </c>
      <c r="S14" s="550"/>
      <c r="T14" s="397">
        <v>8</v>
      </c>
      <c r="V14" s="11"/>
      <c r="W14" s="11"/>
      <c r="X14" s="11"/>
      <c r="Y14" s="11"/>
      <c r="Z14" s="11"/>
      <c r="AA14" s="11"/>
      <c r="AB14" s="11"/>
    </row>
    <row r="15" spans="1:32" ht="27.6" thickTop="1" thickBot="1" x14ac:dyDescent="0.55000000000000004">
      <c r="A15" s="364">
        <v>5</v>
      </c>
      <c r="B15" s="363" t="s">
        <v>28</v>
      </c>
      <c r="C15" s="378" t="s">
        <v>91</v>
      </c>
      <c r="D15" s="551"/>
      <c r="E15" s="397">
        <v>8</v>
      </c>
      <c r="F15" s="490" t="s">
        <v>93</v>
      </c>
      <c r="G15" s="551" t="s">
        <v>86</v>
      </c>
      <c r="H15" s="397">
        <v>8</v>
      </c>
      <c r="I15" s="390" t="s">
        <v>93</v>
      </c>
      <c r="J15" s="551"/>
      <c r="K15" s="397">
        <v>8</v>
      </c>
      <c r="L15" s="571" t="s">
        <v>90</v>
      </c>
      <c r="M15" s="551"/>
      <c r="N15" s="551">
        <v>8</v>
      </c>
      <c r="O15" s="249" t="s">
        <v>12</v>
      </c>
      <c r="P15" s="286"/>
      <c r="Q15" s="370"/>
      <c r="R15" s="381" t="s">
        <v>92</v>
      </c>
      <c r="S15" s="551"/>
      <c r="T15" s="398">
        <v>8</v>
      </c>
      <c r="V15" s="11"/>
      <c r="W15" s="11"/>
      <c r="X15" s="11"/>
      <c r="Y15" s="11"/>
      <c r="Z15" s="11"/>
      <c r="AA15" s="11"/>
      <c r="AB15" s="11"/>
    </row>
    <row r="16" spans="1:32" ht="27.6" thickTop="1" thickBot="1" x14ac:dyDescent="0.55000000000000004">
      <c r="A16" s="368">
        <v>6</v>
      </c>
      <c r="B16" s="363" t="s">
        <v>31</v>
      </c>
      <c r="C16" s="378" t="s">
        <v>91</v>
      </c>
      <c r="D16" s="551"/>
      <c r="E16" s="397">
        <v>8</v>
      </c>
      <c r="F16" s="490" t="s">
        <v>93</v>
      </c>
      <c r="G16" s="551" t="s">
        <v>86</v>
      </c>
      <c r="H16" s="397">
        <v>8</v>
      </c>
      <c r="I16" s="390" t="s">
        <v>93</v>
      </c>
      <c r="J16" s="551"/>
      <c r="K16" s="397">
        <v>8</v>
      </c>
      <c r="L16" s="249" t="s">
        <v>12</v>
      </c>
      <c r="M16" s="551"/>
      <c r="N16" s="551"/>
      <c r="O16" s="375" t="s">
        <v>90</v>
      </c>
      <c r="P16" s="551"/>
      <c r="Q16" s="397">
        <v>8</v>
      </c>
      <c r="R16" s="380" t="s">
        <v>92</v>
      </c>
      <c r="S16" s="551"/>
      <c r="T16" s="397">
        <v>8</v>
      </c>
      <c r="V16" s="11"/>
      <c r="W16" s="11"/>
      <c r="X16" s="11"/>
      <c r="Y16" s="11"/>
      <c r="Z16" s="11"/>
      <c r="AA16" s="11"/>
      <c r="AB16" s="11"/>
    </row>
    <row r="17" spans="1:28" ht="27.6" thickTop="1" thickBot="1" x14ac:dyDescent="0.55000000000000004">
      <c r="A17" s="368">
        <v>7</v>
      </c>
      <c r="B17" s="363" t="s">
        <v>35</v>
      </c>
      <c r="C17" s="377" t="s">
        <v>91</v>
      </c>
      <c r="D17" s="551"/>
      <c r="E17" s="397">
        <v>8</v>
      </c>
      <c r="F17" s="490" t="s">
        <v>93</v>
      </c>
      <c r="G17" s="551" t="s">
        <v>86</v>
      </c>
      <c r="H17" s="397">
        <v>8</v>
      </c>
      <c r="I17" s="390" t="s">
        <v>93</v>
      </c>
      <c r="J17" s="551"/>
      <c r="K17" s="397">
        <v>8</v>
      </c>
      <c r="L17" s="249" t="s">
        <v>12</v>
      </c>
      <c r="M17" s="551"/>
      <c r="N17" s="551"/>
      <c r="O17" s="375" t="s">
        <v>90</v>
      </c>
      <c r="P17" s="292"/>
      <c r="Q17" s="397">
        <v>8</v>
      </c>
      <c r="R17" s="381" t="s">
        <v>92</v>
      </c>
      <c r="S17" s="558"/>
      <c r="T17" s="398">
        <v>8</v>
      </c>
      <c r="V17" s="11"/>
      <c r="W17" s="11"/>
      <c r="X17" s="11"/>
      <c r="Y17" s="11"/>
      <c r="Z17" s="11"/>
      <c r="AA17" s="11"/>
      <c r="AB17" s="11"/>
    </row>
    <row r="18" spans="1:28" ht="27.6" thickTop="1" thickBot="1" x14ac:dyDescent="0.55000000000000004">
      <c r="A18" s="400">
        <v>8</v>
      </c>
      <c r="B18" s="366" t="s">
        <v>11</v>
      </c>
      <c r="C18" s="243" t="s">
        <v>12</v>
      </c>
      <c r="D18" s="552"/>
      <c r="E18" s="399">
        <v>8</v>
      </c>
      <c r="F18" s="388" t="s">
        <v>91</v>
      </c>
      <c r="G18" s="552" t="s">
        <v>86</v>
      </c>
      <c r="H18" s="399">
        <v>8</v>
      </c>
      <c r="I18" s="391" t="s">
        <v>93</v>
      </c>
      <c r="J18" s="552"/>
      <c r="K18" s="399">
        <v>8</v>
      </c>
      <c r="L18" s="384" t="s">
        <v>92</v>
      </c>
      <c r="M18" s="572"/>
      <c r="N18" s="399">
        <v>8</v>
      </c>
      <c r="O18" s="382" t="s">
        <v>90</v>
      </c>
      <c r="P18" s="298"/>
      <c r="Q18" s="399">
        <v>8</v>
      </c>
      <c r="R18" s="246" t="s">
        <v>12</v>
      </c>
      <c r="S18" s="552"/>
      <c r="T18" s="238"/>
      <c r="V18" s="11"/>
      <c r="W18" s="11"/>
      <c r="X18" s="11"/>
      <c r="Y18" s="11"/>
      <c r="Z18" s="11"/>
      <c r="AA18" s="11"/>
      <c r="AB18" s="11"/>
    </row>
    <row r="19" spans="1:28" ht="27.6" thickTop="1" thickBot="1" x14ac:dyDescent="0.55000000000000004">
      <c r="A19" s="445">
        <v>9</v>
      </c>
      <c r="B19" s="83" t="s">
        <v>19</v>
      </c>
      <c r="C19" s="244" t="s">
        <v>12</v>
      </c>
      <c r="D19" s="560"/>
      <c r="E19" s="393"/>
      <c r="F19" s="244" t="s">
        <v>12</v>
      </c>
      <c r="G19" s="560" t="s">
        <v>86</v>
      </c>
      <c r="H19" s="393"/>
      <c r="I19" s="389" t="s">
        <v>91</v>
      </c>
      <c r="J19" s="560"/>
      <c r="K19" s="393">
        <v>8</v>
      </c>
      <c r="L19" s="385" t="s">
        <v>92</v>
      </c>
      <c r="M19" s="319"/>
      <c r="N19" s="395">
        <v>8</v>
      </c>
      <c r="O19" s="383" t="s">
        <v>90</v>
      </c>
      <c r="P19" s="304"/>
      <c r="Q19" s="393">
        <v>8</v>
      </c>
      <c r="R19" s="244" t="s">
        <v>12</v>
      </c>
      <c r="S19" s="560"/>
      <c r="T19" s="372"/>
      <c r="V19" s="11"/>
      <c r="W19" s="11"/>
      <c r="X19" s="11"/>
      <c r="Y19" s="11"/>
      <c r="Z19" s="11"/>
      <c r="AA19" s="11"/>
      <c r="AB19" s="11"/>
    </row>
    <row r="20" spans="1:28" ht="27.6" thickTop="1" thickBot="1" x14ac:dyDescent="0.55000000000000004">
      <c r="A20" s="447">
        <v>10</v>
      </c>
      <c r="B20" s="82" t="s">
        <v>22</v>
      </c>
      <c r="C20" s="379" t="s">
        <v>91</v>
      </c>
      <c r="D20" s="561"/>
      <c r="E20" s="394">
        <v>8</v>
      </c>
      <c r="F20" s="255" t="s">
        <v>12</v>
      </c>
      <c r="G20" s="561" t="s">
        <v>86</v>
      </c>
      <c r="H20" s="228"/>
      <c r="I20" s="255" t="s">
        <v>12</v>
      </c>
      <c r="J20" s="561"/>
      <c r="K20" s="414"/>
      <c r="L20" s="386" t="s">
        <v>92</v>
      </c>
      <c r="M20" s="320"/>
      <c r="N20" s="394">
        <v>8</v>
      </c>
      <c r="O20" s="18" t="s">
        <v>12</v>
      </c>
      <c r="P20" s="561"/>
      <c r="Q20" s="561"/>
      <c r="R20" s="387" t="s">
        <v>90</v>
      </c>
      <c r="S20" s="320"/>
      <c r="T20" s="419">
        <v>8</v>
      </c>
      <c r="V20" s="11"/>
      <c r="W20" s="11"/>
      <c r="X20" s="11"/>
      <c r="Y20" s="10"/>
    </row>
    <row r="21" spans="1:28" ht="27" thickTop="1" thickBot="1" x14ac:dyDescent="0.45">
      <c r="A21" s="373">
        <v>11</v>
      </c>
      <c r="B21" s="367" t="s">
        <v>25</v>
      </c>
      <c r="C21" s="380" t="s">
        <v>92</v>
      </c>
      <c r="D21" s="550"/>
      <c r="E21" s="397">
        <v>8</v>
      </c>
      <c r="F21" s="390" t="s">
        <v>93</v>
      </c>
      <c r="G21" s="550"/>
      <c r="H21" s="397">
        <v>8</v>
      </c>
      <c r="I21" s="490" t="s">
        <v>93</v>
      </c>
      <c r="J21" s="550"/>
      <c r="K21" s="397">
        <v>8</v>
      </c>
      <c r="L21" s="249" t="s">
        <v>12</v>
      </c>
      <c r="M21" s="289"/>
      <c r="N21" s="370"/>
      <c r="O21" s="377" t="s">
        <v>91</v>
      </c>
      <c r="P21" s="550" t="s">
        <v>86</v>
      </c>
      <c r="Q21" s="397">
        <v>8</v>
      </c>
      <c r="R21" s="577" t="s">
        <v>90</v>
      </c>
      <c r="S21" s="550"/>
      <c r="T21" s="550">
        <v>8</v>
      </c>
    </row>
    <row r="22" spans="1:28" ht="27.6" thickTop="1" thickBot="1" x14ac:dyDescent="0.55000000000000004">
      <c r="A22" s="364">
        <v>12</v>
      </c>
      <c r="B22" s="363" t="s">
        <v>28</v>
      </c>
      <c r="C22" s="381" t="s">
        <v>92</v>
      </c>
      <c r="D22" s="551"/>
      <c r="E22" s="398">
        <v>8</v>
      </c>
      <c r="F22" s="390" t="s">
        <v>93</v>
      </c>
      <c r="G22" s="551"/>
      <c r="H22" s="397">
        <v>8</v>
      </c>
      <c r="I22" s="490" t="s">
        <v>93</v>
      </c>
      <c r="J22" s="551"/>
      <c r="K22" s="397">
        <v>8</v>
      </c>
      <c r="L22" s="249" t="s">
        <v>12</v>
      </c>
      <c r="M22" s="286"/>
      <c r="N22" s="370"/>
      <c r="O22" s="378" t="s">
        <v>91</v>
      </c>
      <c r="P22" s="551" t="s">
        <v>86</v>
      </c>
      <c r="Q22" s="397">
        <v>8</v>
      </c>
      <c r="R22" s="571" t="s">
        <v>90</v>
      </c>
      <c r="S22" s="551"/>
      <c r="T22" s="551">
        <v>8</v>
      </c>
      <c r="W22" s="374"/>
      <c r="X22" s="374"/>
      <c r="Y22" s="10"/>
    </row>
    <row r="23" spans="1:28" ht="27.6" thickTop="1" thickBot="1" x14ac:dyDescent="0.55000000000000004">
      <c r="A23" s="368">
        <v>13</v>
      </c>
      <c r="B23" s="363" t="s">
        <v>31</v>
      </c>
      <c r="C23" s="380" t="s">
        <v>92</v>
      </c>
      <c r="D23" s="551"/>
      <c r="E23" s="397">
        <v>8</v>
      </c>
      <c r="F23" s="390" t="s">
        <v>93</v>
      </c>
      <c r="G23" s="551"/>
      <c r="H23" s="397">
        <v>8</v>
      </c>
      <c r="I23" s="490" t="s">
        <v>93</v>
      </c>
      <c r="J23" s="551"/>
      <c r="K23" s="397">
        <v>8</v>
      </c>
      <c r="L23" s="375" t="s">
        <v>90</v>
      </c>
      <c r="M23" s="551"/>
      <c r="N23" s="397">
        <v>8</v>
      </c>
      <c r="O23" s="378" t="s">
        <v>91</v>
      </c>
      <c r="P23" s="551" t="s">
        <v>86</v>
      </c>
      <c r="Q23" s="397">
        <v>8</v>
      </c>
      <c r="R23" s="249" t="s">
        <v>12</v>
      </c>
      <c r="S23" s="551"/>
      <c r="T23" s="551"/>
      <c r="W23" s="11"/>
      <c r="X23" s="11"/>
      <c r="Y23" s="10"/>
    </row>
    <row r="24" spans="1:28" ht="27.6" thickTop="1" thickBot="1" x14ac:dyDescent="0.55000000000000004">
      <c r="A24" s="368">
        <v>14</v>
      </c>
      <c r="B24" s="363" t="s">
        <v>35</v>
      </c>
      <c r="C24" s="381" t="s">
        <v>92</v>
      </c>
      <c r="D24" s="558"/>
      <c r="E24" s="398">
        <v>8</v>
      </c>
      <c r="F24" s="390" t="s">
        <v>93</v>
      </c>
      <c r="G24" s="551"/>
      <c r="H24" s="397">
        <v>8</v>
      </c>
      <c r="I24" s="490" t="s">
        <v>93</v>
      </c>
      <c r="J24" s="551"/>
      <c r="K24" s="397">
        <v>8</v>
      </c>
      <c r="L24" s="375" t="s">
        <v>90</v>
      </c>
      <c r="M24" s="292"/>
      <c r="N24" s="397">
        <v>8</v>
      </c>
      <c r="O24" s="377" t="s">
        <v>91</v>
      </c>
      <c r="P24" s="551" t="s">
        <v>86</v>
      </c>
      <c r="Q24" s="397">
        <v>8</v>
      </c>
      <c r="R24" s="249" t="s">
        <v>12</v>
      </c>
      <c r="S24" s="551"/>
      <c r="T24" s="551"/>
      <c r="W24" s="11"/>
      <c r="X24" s="11"/>
      <c r="Y24" s="10"/>
    </row>
    <row r="25" spans="1:28" ht="27.6" thickTop="1" thickBot="1" x14ac:dyDescent="0.55000000000000004">
      <c r="A25" s="365">
        <v>15</v>
      </c>
      <c r="B25" s="366" t="s">
        <v>11</v>
      </c>
      <c r="C25" s="246" t="s">
        <v>12</v>
      </c>
      <c r="D25" s="552"/>
      <c r="E25" s="238"/>
      <c r="F25" s="391" t="s">
        <v>93</v>
      </c>
      <c r="G25" s="552"/>
      <c r="H25" s="399">
        <v>8</v>
      </c>
      <c r="I25" s="388" t="s">
        <v>91</v>
      </c>
      <c r="J25" s="552"/>
      <c r="K25" s="399">
        <v>8</v>
      </c>
      <c r="L25" s="382" t="s">
        <v>90</v>
      </c>
      <c r="M25" s="298"/>
      <c r="N25" s="399">
        <v>8</v>
      </c>
      <c r="O25" s="243" t="s">
        <v>12</v>
      </c>
      <c r="P25" s="552" t="s">
        <v>86</v>
      </c>
      <c r="Q25" s="399">
        <v>8</v>
      </c>
      <c r="R25" s="384" t="s">
        <v>92</v>
      </c>
      <c r="S25" s="572"/>
      <c r="T25" s="399">
        <v>8</v>
      </c>
      <c r="W25" s="11"/>
      <c r="X25" s="11"/>
      <c r="Y25" s="10"/>
    </row>
    <row r="26" spans="1:28" ht="27.6" thickTop="1" thickBot="1" x14ac:dyDescent="0.55000000000000004">
      <c r="A26" s="445">
        <v>16</v>
      </c>
      <c r="B26" s="83" t="s">
        <v>19</v>
      </c>
      <c r="C26" s="244" t="s">
        <v>12</v>
      </c>
      <c r="D26" s="560"/>
      <c r="E26" s="225"/>
      <c r="F26" s="244" t="s">
        <v>12</v>
      </c>
      <c r="G26" s="560"/>
      <c r="H26" s="225"/>
      <c r="I26" s="389" t="s">
        <v>91</v>
      </c>
      <c r="J26" s="560"/>
      <c r="K26" s="393">
        <v>8</v>
      </c>
      <c r="L26" s="383" t="s">
        <v>90</v>
      </c>
      <c r="M26" s="304"/>
      <c r="N26" s="393">
        <v>8</v>
      </c>
      <c r="O26" s="244" t="s">
        <v>12</v>
      </c>
      <c r="P26" s="560" t="s">
        <v>86</v>
      </c>
      <c r="Q26" s="393"/>
      <c r="R26" s="385" t="s">
        <v>92</v>
      </c>
      <c r="S26" s="319"/>
      <c r="T26" s="442">
        <v>8</v>
      </c>
      <c r="W26" s="11"/>
      <c r="X26" s="14"/>
      <c r="Y26" s="10"/>
    </row>
    <row r="27" spans="1:28" ht="27.6" thickTop="1" thickBot="1" x14ac:dyDescent="0.55000000000000004">
      <c r="A27" s="448">
        <v>17</v>
      </c>
      <c r="B27" s="82" t="s">
        <v>22</v>
      </c>
      <c r="C27" s="387" t="s">
        <v>90</v>
      </c>
      <c r="D27" s="320"/>
      <c r="E27" s="407">
        <v>8</v>
      </c>
      <c r="F27" s="255" t="s">
        <v>12</v>
      </c>
      <c r="G27" s="561"/>
      <c r="H27" s="228"/>
      <c r="I27" s="255" t="s">
        <v>12</v>
      </c>
      <c r="J27" s="554"/>
      <c r="K27" s="414"/>
      <c r="L27" s="18" t="s">
        <v>12</v>
      </c>
      <c r="M27" s="561"/>
      <c r="N27" s="561"/>
      <c r="O27" s="379" t="s">
        <v>91</v>
      </c>
      <c r="P27" s="561" t="s">
        <v>86</v>
      </c>
      <c r="Q27" s="394">
        <v>8</v>
      </c>
      <c r="R27" s="386" t="s">
        <v>92</v>
      </c>
      <c r="S27" s="320"/>
      <c r="T27" s="443">
        <v>8</v>
      </c>
      <c r="W27" s="11"/>
      <c r="X27" s="11"/>
      <c r="Y27" s="10"/>
    </row>
    <row r="28" spans="1:28" ht="27.6" thickTop="1" thickBot="1" x14ac:dyDescent="0.55000000000000004">
      <c r="A28" s="371">
        <v>18</v>
      </c>
      <c r="B28" s="367" t="s">
        <v>25</v>
      </c>
      <c r="C28" s="577" t="s">
        <v>90</v>
      </c>
      <c r="D28" s="550"/>
      <c r="E28" s="550">
        <v>8</v>
      </c>
      <c r="F28" s="490" t="s">
        <v>93</v>
      </c>
      <c r="G28" s="550"/>
      <c r="H28" s="397">
        <v>8</v>
      </c>
      <c r="I28" s="390" t="s">
        <v>93</v>
      </c>
      <c r="J28" s="550"/>
      <c r="K28" s="397">
        <v>8</v>
      </c>
      <c r="L28" s="377" t="s">
        <v>91</v>
      </c>
      <c r="M28" s="550" t="s">
        <v>86</v>
      </c>
      <c r="N28" s="397">
        <v>8</v>
      </c>
      <c r="O28" s="380" t="s">
        <v>92</v>
      </c>
      <c r="P28" s="550"/>
      <c r="Q28" s="397">
        <v>8</v>
      </c>
      <c r="R28" s="249" t="s">
        <v>12</v>
      </c>
      <c r="S28" s="289"/>
      <c r="T28" s="370"/>
      <c r="W28" s="11"/>
      <c r="X28" s="11"/>
      <c r="Y28" s="10"/>
    </row>
    <row r="29" spans="1:28" ht="27.6" thickTop="1" thickBot="1" x14ac:dyDescent="0.55000000000000004">
      <c r="A29" s="364">
        <v>19</v>
      </c>
      <c r="B29" s="363" t="s">
        <v>28</v>
      </c>
      <c r="C29" s="571" t="s">
        <v>90</v>
      </c>
      <c r="D29" s="551"/>
      <c r="E29" s="551">
        <v>8</v>
      </c>
      <c r="F29" s="490" t="s">
        <v>93</v>
      </c>
      <c r="G29" s="551"/>
      <c r="H29" s="397">
        <v>8</v>
      </c>
      <c r="I29" s="390" t="s">
        <v>93</v>
      </c>
      <c r="J29" s="551"/>
      <c r="K29" s="397">
        <v>8</v>
      </c>
      <c r="L29" s="378" t="s">
        <v>91</v>
      </c>
      <c r="M29" s="551" t="s">
        <v>86</v>
      </c>
      <c r="N29" s="397">
        <v>8</v>
      </c>
      <c r="O29" s="381" t="s">
        <v>92</v>
      </c>
      <c r="P29" s="551"/>
      <c r="Q29" s="398">
        <v>8</v>
      </c>
      <c r="R29" s="249" t="s">
        <v>12</v>
      </c>
      <c r="S29" s="286"/>
      <c r="T29" s="370"/>
      <c r="W29" s="11"/>
      <c r="X29" s="11"/>
      <c r="Y29" s="10"/>
    </row>
    <row r="30" spans="1:28" ht="27.6" thickTop="1" thickBot="1" x14ac:dyDescent="0.55000000000000004">
      <c r="A30" s="368">
        <v>20</v>
      </c>
      <c r="B30" s="363" t="s">
        <v>31</v>
      </c>
      <c r="C30" s="249" t="s">
        <v>12</v>
      </c>
      <c r="D30" s="551"/>
      <c r="E30" s="551"/>
      <c r="F30" s="490" t="s">
        <v>93</v>
      </c>
      <c r="G30" s="551"/>
      <c r="H30" s="397">
        <v>8</v>
      </c>
      <c r="I30" s="390" t="s">
        <v>93</v>
      </c>
      <c r="J30" s="551"/>
      <c r="K30" s="397">
        <v>8</v>
      </c>
      <c r="L30" s="378" t="s">
        <v>91</v>
      </c>
      <c r="M30" s="551" t="s">
        <v>86</v>
      </c>
      <c r="N30" s="397">
        <v>8</v>
      </c>
      <c r="O30" s="380" t="s">
        <v>92</v>
      </c>
      <c r="P30" s="551"/>
      <c r="Q30" s="397">
        <v>8</v>
      </c>
      <c r="R30" s="375" t="s">
        <v>90</v>
      </c>
      <c r="S30" s="551"/>
      <c r="T30" s="397">
        <v>8</v>
      </c>
      <c r="W30" s="11"/>
      <c r="X30" s="11"/>
      <c r="Y30" s="10"/>
      <c r="Z30" s="10"/>
    </row>
    <row r="31" spans="1:28" ht="27.6" thickTop="1" thickBot="1" x14ac:dyDescent="0.55000000000000004">
      <c r="A31" s="368">
        <v>21</v>
      </c>
      <c r="B31" s="363" t="s">
        <v>35</v>
      </c>
      <c r="C31" s="249" t="s">
        <v>12</v>
      </c>
      <c r="D31" s="551"/>
      <c r="E31" s="551"/>
      <c r="F31" s="490" t="s">
        <v>93</v>
      </c>
      <c r="G31" s="551"/>
      <c r="H31" s="397">
        <v>8</v>
      </c>
      <c r="I31" s="390" t="s">
        <v>93</v>
      </c>
      <c r="J31" s="551"/>
      <c r="K31" s="397">
        <v>8</v>
      </c>
      <c r="L31" s="377" t="s">
        <v>91</v>
      </c>
      <c r="M31" s="551" t="s">
        <v>86</v>
      </c>
      <c r="N31" s="397">
        <v>8</v>
      </c>
      <c r="O31" s="381" t="s">
        <v>92</v>
      </c>
      <c r="P31" s="558"/>
      <c r="Q31" s="398">
        <v>8</v>
      </c>
      <c r="R31" s="375" t="s">
        <v>90</v>
      </c>
      <c r="S31" s="292"/>
      <c r="T31" s="397">
        <v>8</v>
      </c>
      <c r="W31" s="11"/>
      <c r="X31" s="11"/>
      <c r="Y31" s="10"/>
      <c r="Z31" s="10"/>
    </row>
    <row r="32" spans="1:28" ht="27.6" thickTop="1" thickBot="1" x14ac:dyDescent="0.55000000000000004">
      <c r="A32" s="400">
        <v>22</v>
      </c>
      <c r="B32" s="366" t="s">
        <v>11</v>
      </c>
      <c r="C32" s="384" t="s">
        <v>92</v>
      </c>
      <c r="D32" s="572"/>
      <c r="E32" s="399">
        <v>8</v>
      </c>
      <c r="F32" s="379" t="s">
        <v>91</v>
      </c>
      <c r="G32" s="552"/>
      <c r="H32" s="397">
        <v>8</v>
      </c>
      <c r="I32" s="390" t="s">
        <v>93</v>
      </c>
      <c r="J32" s="552"/>
      <c r="K32" s="397">
        <v>8</v>
      </c>
      <c r="L32" s="243" t="s">
        <v>12</v>
      </c>
      <c r="M32" s="552" t="s">
        <v>86</v>
      </c>
      <c r="N32" s="399">
        <v>8</v>
      </c>
      <c r="O32" s="246" t="s">
        <v>12</v>
      </c>
      <c r="P32" s="552"/>
      <c r="Q32" s="238"/>
      <c r="R32" s="382" t="s">
        <v>90</v>
      </c>
      <c r="S32" s="298"/>
      <c r="T32" s="399">
        <v>8</v>
      </c>
      <c r="W32" s="11"/>
      <c r="X32" s="11"/>
      <c r="Y32" s="10"/>
      <c r="Z32" s="10"/>
    </row>
    <row r="33" spans="1:26" ht="27.6" thickTop="1" thickBot="1" x14ac:dyDescent="0.55000000000000004">
      <c r="A33" s="445">
        <v>23</v>
      </c>
      <c r="B33" s="83" t="s">
        <v>19</v>
      </c>
      <c r="C33" s="385" t="s">
        <v>92</v>
      </c>
      <c r="D33" s="319"/>
      <c r="E33" s="395">
        <v>8</v>
      </c>
      <c r="F33" s="377" t="s">
        <v>91</v>
      </c>
      <c r="G33" s="560"/>
      <c r="H33" s="393">
        <v>8</v>
      </c>
      <c r="I33" s="244" t="s">
        <v>12</v>
      </c>
      <c r="J33" s="560"/>
      <c r="K33" s="225"/>
      <c r="L33" s="244" t="s">
        <v>12</v>
      </c>
      <c r="M33" s="560" t="s">
        <v>86</v>
      </c>
      <c r="N33" s="393"/>
      <c r="O33" s="244" t="s">
        <v>12</v>
      </c>
      <c r="P33" s="560"/>
      <c r="Q33" s="225"/>
      <c r="R33" s="383" t="s">
        <v>90</v>
      </c>
      <c r="S33" s="304"/>
      <c r="T33" s="393">
        <v>8</v>
      </c>
      <c r="W33" s="11"/>
      <c r="X33" s="11"/>
      <c r="Y33" s="10"/>
      <c r="Z33" s="10"/>
    </row>
    <row r="34" spans="1:26" ht="27.6" thickTop="1" thickBot="1" x14ac:dyDescent="0.55000000000000004">
      <c r="A34" s="447">
        <v>24</v>
      </c>
      <c r="B34" s="82" t="s">
        <v>22</v>
      </c>
      <c r="C34" s="386" t="s">
        <v>92</v>
      </c>
      <c r="D34" s="320"/>
      <c r="E34" s="394">
        <v>8</v>
      </c>
      <c r="F34" s="255" t="s">
        <v>12</v>
      </c>
      <c r="G34" s="561"/>
      <c r="H34" s="228"/>
      <c r="I34" s="255" t="s">
        <v>12</v>
      </c>
      <c r="J34" s="561"/>
      <c r="K34" s="228"/>
      <c r="L34" s="379" t="s">
        <v>91</v>
      </c>
      <c r="M34" s="561" t="s">
        <v>86</v>
      </c>
      <c r="N34" s="394">
        <v>8</v>
      </c>
      <c r="O34" s="387" t="s">
        <v>90</v>
      </c>
      <c r="P34" s="320"/>
      <c r="Q34" s="407">
        <v>8</v>
      </c>
      <c r="R34" s="18" t="s">
        <v>12</v>
      </c>
      <c r="S34" s="561"/>
      <c r="T34" s="561"/>
      <c r="W34" s="11"/>
      <c r="X34" s="14"/>
      <c r="Y34" s="10"/>
      <c r="Z34" s="10"/>
    </row>
    <row r="35" spans="1:26" ht="27.6" thickTop="1" thickBot="1" x14ac:dyDescent="0.55000000000000004">
      <c r="A35" s="373">
        <v>25</v>
      </c>
      <c r="B35" s="367" t="s">
        <v>25</v>
      </c>
      <c r="C35" s="249" t="s">
        <v>12</v>
      </c>
      <c r="D35" s="289"/>
      <c r="E35" s="370"/>
      <c r="F35" s="390" t="s">
        <v>93</v>
      </c>
      <c r="G35" s="550"/>
      <c r="H35" s="397">
        <v>8</v>
      </c>
      <c r="I35" s="380" t="s">
        <v>92</v>
      </c>
      <c r="J35" s="550"/>
      <c r="K35" s="397">
        <v>8</v>
      </c>
      <c r="L35" s="244" t="s">
        <v>12</v>
      </c>
      <c r="M35" s="551"/>
      <c r="N35" s="415"/>
      <c r="O35" s="571" t="s">
        <v>90</v>
      </c>
      <c r="P35" s="550"/>
      <c r="Q35" s="550">
        <v>8</v>
      </c>
      <c r="R35" s="377" t="s">
        <v>91</v>
      </c>
      <c r="S35" s="550" t="s">
        <v>86</v>
      </c>
      <c r="T35" s="397">
        <v>8</v>
      </c>
      <c r="W35" s="11"/>
      <c r="X35" s="11"/>
      <c r="Y35" s="10"/>
      <c r="Z35" s="10"/>
    </row>
    <row r="36" spans="1:26" ht="27.6" thickTop="1" thickBot="1" x14ac:dyDescent="0.55000000000000004">
      <c r="A36" s="364">
        <v>26</v>
      </c>
      <c r="B36" s="363" t="s">
        <v>28</v>
      </c>
      <c r="C36" s="249" t="s">
        <v>12</v>
      </c>
      <c r="D36" s="286"/>
      <c r="E36" s="370"/>
      <c r="F36" s="390" t="s">
        <v>93</v>
      </c>
      <c r="G36" s="551"/>
      <c r="H36" s="397">
        <v>8</v>
      </c>
      <c r="I36" s="381" t="s">
        <v>92</v>
      </c>
      <c r="J36" s="551"/>
      <c r="K36" s="398">
        <v>8</v>
      </c>
      <c r="L36" s="490" t="s">
        <v>93</v>
      </c>
      <c r="M36" s="551"/>
      <c r="N36" s="397">
        <v>8</v>
      </c>
      <c r="O36" s="571" t="s">
        <v>90</v>
      </c>
      <c r="P36" s="551"/>
      <c r="Q36" s="551">
        <v>8</v>
      </c>
      <c r="R36" s="378" t="s">
        <v>91</v>
      </c>
      <c r="S36" s="551" t="s">
        <v>86</v>
      </c>
      <c r="T36" s="397">
        <v>8</v>
      </c>
      <c r="W36" s="11"/>
      <c r="X36" s="11"/>
      <c r="Y36" s="10"/>
      <c r="Z36" s="10"/>
    </row>
    <row r="37" spans="1:26" ht="27.6" thickTop="1" thickBot="1" x14ac:dyDescent="0.55000000000000004">
      <c r="A37" s="368">
        <v>27</v>
      </c>
      <c r="B37" s="363" t="s">
        <v>31</v>
      </c>
      <c r="C37" s="375" t="s">
        <v>90</v>
      </c>
      <c r="D37" s="551"/>
      <c r="E37" s="397">
        <v>8</v>
      </c>
      <c r="F37" s="390" t="s">
        <v>93</v>
      </c>
      <c r="G37" s="551"/>
      <c r="H37" s="397">
        <v>8</v>
      </c>
      <c r="I37" s="380" t="s">
        <v>92</v>
      </c>
      <c r="J37" s="551"/>
      <c r="K37" s="397">
        <v>8</v>
      </c>
      <c r="L37" s="490" t="s">
        <v>93</v>
      </c>
      <c r="M37" s="551"/>
      <c r="N37" s="397">
        <v>8</v>
      </c>
      <c r="O37" s="249" t="s">
        <v>12</v>
      </c>
      <c r="P37" s="551"/>
      <c r="Q37" s="551"/>
      <c r="R37" s="378" t="s">
        <v>91</v>
      </c>
      <c r="S37" s="551" t="s">
        <v>86</v>
      </c>
      <c r="T37" s="397">
        <v>8</v>
      </c>
      <c r="W37" s="11"/>
      <c r="X37" s="11"/>
      <c r="Y37" s="10"/>
      <c r="Z37" s="10"/>
    </row>
    <row r="38" spans="1:26" ht="27.6" thickTop="1" thickBot="1" x14ac:dyDescent="0.55000000000000004">
      <c r="A38" s="368">
        <v>28</v>
      </c>
      <c r="B38" s="363" t="s">
        <v>35</v>
      </c>
      <c r="C38" s="375" t="s">
        <v>90</v>
      </c>
      <c r="D38" s="292"/>
      <c r="E38" s="397">
        <v>8</v>
      </c>
      <c r="F38" s="390" t="s">
        <v>93</v>
      </c>
      <c r="G38" s="551"/>
      <c r="H38" s="397">
        <v>8</v>
      </c>
      <c r="I38" s="381" t="s">
        <v>92</v>
      </c>
      <c r="J38" s="558"/>
      <c r="K38" s="398">
        <v>8</v>
      </c>
      <c r="L38" s="490" t="s">
        <v>93</v>
      </c>
      <c r="M38" s="551"/>
      <c r="N38" s="397">
        <v>8</v>
      </c>
      <c r="O38" s="249" t="s">
        <v>12</v>
      </c>
      <c r="P38" s="551"/>
      <c r="Q38" s="551"/>
      <c r="R38" s="377" t="s">
        <v>91</v>
      </c>
      <c r="S38" s="551" t="s">
        <v>86</v>
      </c>
      <c r="T38" s="397">
        <v>8</v>
      </c>
      <c r="W38" s="11"/>
      <c r="X38" s="11"/>
      <c r="Y38" s="10"/>
      <c r="Z38" s="10"/>
    </row>
    <row r="39" spans="1:26" ht="27.6" thickTop="1" thickBot="1" x14ac:dyDescent="0.55000000000000004">
      <c r="A39" s="400">
        <v>29</v>
      </c>
      <c r="B39" s="366" t="s">
        <v>11</v>
      </c>
      <c r="C39" s="382" t="s">
        <v>90</v>
      </c>
      <c r="D39" s="298"/>
      <c r="E39" s="399">
        <v>8</v>
      </c>
      <c r="F39" s="390" t="s">
        <v>93</v>
      </c>
      <c r="G39" s="552"/>
      <c r="H39" s="397">
        <v>8</v>
      </c>
      <c r="I39" s="246" t="s">
        <v>12</v>
      </c>
      <c r="J39" s="552"/>
      <c r="K39" s="238"/>
      <c r="L39" s="379" t="s">
        <v>91</v>
      </c>
      <c r="M39" s="552"/>
      <c r="N39" s="397">
        <v>8</v>
      </c>
      <c r="O39" s="384" t="s">
        <v>92</v>
      </c>
      <c r="P39" s="572"/>
      <c r="Q39" s="399">
        <v>8</v>
      </c>
      <c r="R39" s="243" t="s">
        <v>12</v>
      </c>
      <c r="S39" s="552" t="s">
        <v>86</v>
      </c>
      <c r="T39" s="399">
        <v>8</v>
      </c>
      <c r="W39" s="11"/>
      <c r="X39" s="11"/>
      <c r="Y39" s="10"/>
      <c r="Z39" s="10"/>
    </row>
    <row r="40" spans="1:26" ht="27.6" thickTop="1" thickBot="1" x14ac:dyDescent="0.55000000000000004">
      <c r="A40" s="445">
        <v>30</v>
      </c>
      <c r="B40" s="83" t="s">
        <v>19</v>
      </c>
      <c r="C40" s="383" t="s">
        <v>90</v>
      </c>
      <c r="D40" s="304"/>
      <c r="E40" s="393">
        <v>8</v>
      </c>
      <c r="F40" s="244" t="s">
        <v>12</v>
      </c>
      <c r="G40" s="560"/>
      <c r="H40" s="225"/>
      <c r="I40" s="244" t="s">
        <v>12</v>
      </c>
      <c r="J40" s="560"/>
      <c r="K40" s="225"/>
      <c r="L40" s="377" t="s">
        <v>91</v>
      </c>
      <c r="M40" s="560"/>
      <c r="N40" s="393">
        <v>8</v>
      </c>
      <c r="O40" s="385" t="s">
        <v>92</v>
      </c>
      <c r="P40" s="319"/>
      <c r="Q40" s="395">
        <v>8</v>
      </c>
      <c r="R40" s="244" t="s">
        <v>12</v>
      </c>
      <c r="S40" s="560" t="s">
        <v>86</v>
      </c>
      <c r="T40" s="393"/>
      <c r="X40" s="14"/>
      <c r="Y40" s="10"/>
      <c r="Z40" s="10"/>
    </row>
    <row r="41" spans="1:26" ht="27.6" hidden="1" thickTop="1" thickBot="1" x14ac:dyDescent="0.55000000000000004">
      <c r="A41" s="364">
        <v>31</v>
      </c>
      <c r="B41" s="363"/>
      <c r="C41" s="413"/>
      <c r="D41" s="550"/>
      <c r="E41" s="370"/>
      <c r="F41" s="255" t="s">
        <v>12</v>
      </c>
      <c r="G41" s="561"/>
      <c r="H41" s="228"/>
      <c r="I41" s="387" t="s">
        <v>90</v>
      </c>
      <c r="J41" s="320"/>
      <c r="K41" s="407">
        <v>8</v>
      </c>
      <c r="L41" s="412"/>
      <c r="M41" s="557"/>
      <c r="N41" s="410"/>
      <c r="O41" s="369"/>
      <c r="P41" s="557"/>
      <c r="Q41" s="370"/>
      <c r="R41" s="411"/>
      <c r="S41" s="300"/>
      <c r="T41" s="410"/>
      <c r="X41" s="11"/>
      <c r="Y41" s="10"/>
    </row>
    <row r="42" spans="1:26" ht="28.8" thickTop="1" thickBot="1" x14ac:dyDescent="0.55000000000000004">
      <c r="E42" s="12">
        <f>SUM(E12:E41)</f>
        <v>152</v>
      </c>
      <c r="H42" s="12">
        <f>SUM(H11:H41)</f>
        <v>176</v>
      </c>
      <c r="K42" s="12">
        <f>SUM(K11:K41)</f>
        <v>176</v>
      </c>
      <c r="N42" s="12">
        <f>SUM(N11:N41)</f>
        <v>168</v>
      </c>
      <c r="Q42" s="12">
        <f>SUM(Q11:Q41)</f>
        <v>176</v>
      </c>
      <c r="T42" s="12">
        <f>SUM(T11:T41)</f>
        <v>160</v>
      </c>
      <c r="X42" s="11"/>
      <c r="Y42" s="10"/>
    </row>
    <row r="43" spans="1:26" ht="26.4" thickTop="1" x14ac:dyDescent="0.5">
      <c r="X43" s="11"/>
      <c r="Y43" s="10"/>
    </row>
    <row r="44" spans="1:26" ht="25.8" x14ac:dyDescent="0.5">
      <c r="X44" s="11"/>
      <c r="Y44" s="10"/>
    </row>
    <row r="45" spans="1:26" ht="25.8" x14ac:dyDescent="0.5">
      <c r="X45" s="11"/>
      <c r="Y45" s="10"/>
    </row>
    <row r="46" spans="1:26" ht="36.6" x14ac:dyDescent="0.5">
      <c r="B46" s="674" t="s">
        <v>97</v>
      </c>
      <c r="C46" s="358" t="s">
        <v>32</v>
      </c>
      <c r="D46" s="358"/>
      <c r="E46" s="358">
        <f>COUNTIF(C11:C41,"FERIE")*8</f>
        <v>16</v>
      </c>
      <c r="F46" s="358" t="s">
        <v>32</v>
      </c>
      <c r="G46" s="358"/>
      <c r="H46" s="358">
        <f>COUNTIF(F11:F41,"FERIE")*8</f>
        <v>0</v>
      </c>
      <c r="I46" s="358" t="s">
        <v>32</v>
      </c>
      <c r="J46" s="360"/>
      <c r="K46" s="358">
        <f>COUNTIF(I11:I41,"FERIE")*8</f>
        <v>0</v>
      </c>
      <c r="L46" s="358" t="s">
        <v>32</v>
      </c>
      <c r="M46" s="358"/>
      <c r="N46" s="358">
        <f>COUNTIF(L11:L41,"FERIE")*8</f>
        <v>0</v>
      </c>
      <c r="O46" s="358" t="s">
        <v>32</v>
      </c>
      <c r="P46" s="358"/>
      <c r="Q46" s="358">
        <f>COUNTIF(O11:O41,"FERIE")*8</f>
        <v>0</v>
      </c>
      <c r="R46" s="358" t="s">
        <v>32</v>
      </c>
      <c r="S46" s="358"/>
      <c r="T46" s="358">
        <f>COUNTIF(R11:R41,"FERIE")*8</f>
        <v>0</v>
      </c>
      <c r="X46" s="11"/>
      <c r="Y46" s="10"/>
    </row>
    <row r="47" spans="1:26" ht="36.6" x14ac:dyDescent="0.5">
      <c r="B47" s="675"/>
      <c r="C47" s="358" t="s">
        <v>55</v>
      </c>
      <c r="D47" s="358"/>
      <c r="E47" s="358">
        <f>COUNTIF(C11:C41,"riposo")</f>
        <v>10</v>
      </c>
      <c r="F47" s="358" t="s">
        <v>55</v>
      </c>
      <c r="G47" s="358"/>
      <c r="H47" s="358">
        <f>COUNTIF(F11:F41,"riposo")</f>
        <v>9</v>
      </c>
      <c r="I47" s="358" t="s">
        <v>55</v>
      </c>
      <c r="J47" s="360"/>
      <c r="K47" s="358">
        <f>COUNTIF(I11:I41,"riposo")</f>
        <v>7</v>
      </c>
      <c r="L47" s="358" t="s">
        <v>55</v>
      </c>
      <c r="M47" s="358"/>
      <c r="N47" s="358">
        <f>COUNTIF(L11:L41,"riposo")</f>
        <v>10</v>
      </c>
      <c r="O47" s="358" t="s">
        <v>55</v>
      </c>
      <c r="P47" s="358"/>
      <c r="Q47" s="358">
        <f>COUNTIF(O11:O41,"riposo")</f>
        <v>9</v>
      </c>
      <c r="R47" s="358" t="s">
        <v>55</v>
      </c>
      <c r="S47" s="358"/>
      <c r="T47" s="358">
        <f>COUNTIF(R11:R41,"riposo")</f>
        <v>11</v>
      </c>
      <c r="X47" s="11"/>
      <c r="Y47" s="10"/>
    </row>
    <row r="48" spans="1:26" ht="36.6" x14ac:dyDescent="0.3">
      <c r="B48" s="675"/>
      <c r="C48" s="358" t="s">
        <v>56</v>
      </c>
      <c r="D48" s="358"/>
      <c r="E48" s="358">
        <f>+E42-E46</f>
        <v>136</v>
      </c>
      <c r="F48" s="358" t="s">
        <v>56</v>
      </c>
      <c r="G48" s="358"/>
      <c r="H48" s="358">
        <f>+H42-H46</f>
        <v>176</v>
      </c>
      <c r="I48" s="358" t="s">
        <v>56</v>
      </c>
      <c r="J48" s="360"/>
      <c r="K48" s="358">
        <f>+K42-K46</f>
        <v>176</v>
      </c>
      <c r="L48" s="358" t="s">
        <v>56</v>
      </c>
      <c r="M48" s="358"/>
      <c r="N48" s="358">
        <f>+N42-N46</f>
        <v>168</v>
      </c>
      <c r="O48" s="358" t="s">
        <v>56</v>
      </c>
      <c r="P48" s="358"/>
      <c r="Q48" s="358">
        <f>+Q42-Q46</f>
        <v>176</v>
      </c>
      <c r="R48" s="358" t="s">
        <v>56</v>
      </c>
      <c r="S48" s="358"/>
      <c r="T48" s="358">
        <f>+T42-T46</f>
        <v>160</v>
      </c>
    </row>
    <row r="49" spans="2:20" ht="36.6" x14ac:dyDescent="0.3">
      <c r="B49" s="675"/>
      <c r="C49" s="358" t="s">
        <v>88</v>
      </c>
      <c r="D49" s="360"/>
      <c r="E49" s="358">
        <f>COUNTIF(D11:D41,"R")</f>
        <v>0</v>
      </c>
      <c r="F49" s="358" t="s">
        <v>88</v>
      </c>
      <c r="G49" s="360"/>
      <c r="H49" s="358">
        <f>COUNTIF(G11:G41,"R")</f>
        <v>7</v>
      </c>
      <c r="I49" s="358" t="s">
        <v>88</v>
      </c>
      <c r="J49" s="360"/>
      <c r="K49" s="358">
        <f>COUNTIF(J11:J41,"R")</f>
        <v>0</v>
      </c>
      <c r="L49" s="358" t="s">
        <v>88</v>
      </c>
      <c r="M49" s="360"/>
      <c r="N49" s="358">
        <f>COUNTIF(M11:M41,"R")</f>
        <v>7</v>
      </c>
      <c r="O49" s="358" t="s">
        <v>88</v>
      </c>
      <c r="P49" s="360"/>
      <c r="Q49" s="358">
        <f>COUNTIF(P11:P41,"R")</f>
        <v>7</v>
      </c>
      <c r="R49" s="358" t="s">
        <v>88</v>
      </c>
      <c r="S49" s="360"/>
      <c r="T49" s="358">
        <f>COUNTIF(S11:S41,"R")</f>
        <v>9</v>
      </c>
    </row>
    <row r="50" spans="2:20" ht="36.6" x14ac:dyDescent="0.3">
      <c r="B50" s="675"/>
      <c r="C50" s="358" t="s">
        <v>98</v>
      </c>
      <c r="D50" s="360"/>
      <c r="E50" s="358">
        <f>COUNTIF(C11:C41,"22*")</f>
        <v>7</v>
      </c>
      <c r="F50" s="358" t="s">
        <v>98</v>
      </c>
      <c r="G50" s="360"/>
      <c r="H50" s="358">
        <f>COUNTIF(F11:F41,"2*")</f>
        <v>0</v>
      </c>
      <c r="I50" s="358" t="s">
        <v>98</v>
      </c>
      <c r="J50" s="360"/>
      <c r="K50" s="358">
        <f>COUNTIF(I11:I41,"2*")</f>
        <v>4</v>
      </c>
      <c r="L50" s="358" t="s">
        <v>98</v>
      </c>
      <c r="M50" s="360"/>
      <c r="N50" s="358">
        <f>COUNTIF(L11:L41,"2*")</f>
        <v>3</v>
      </c>
      <c r="O50" s="358" t="s">
        <v>98</v>
      </c>
      <c r="P50" s="360"/>
      <c r="Q50" s="358">
        <f>COUNTIF(O11:O41,"2*")</f>
        <v>9</v>
      </c>
      <c r="R50" s="358" t="s">
        <v>98</v>
      </c>
      <c r="S50" s="360"/>
      <c r="T50" s="358">
        <f>COUNTIF(R11:R41,"2*")</f>
        <v>7</v>
      </c>
    </row>
    <row r="51" spans="2:20" ht="36.6" x14ac:dyDescent="0.3">
      <c r="B51" s="675"/>
      <c r="C51" s="358" t="s">
        <v>99</v>
      </c>
      <c r="D51" s="360"/>
      <c r="E51" s="358">
        <f>(COUNTIF(C11:C41,"malattia"))*8</f>
        <v>0</v>
      </c>
      <c r="F51" s="358" t="s">
        <v>99</v>
      </c>
      <c r="G51" s="360"/>
      <c r="H51" s="358">
        <f>(COUNTIF(F11:F41,"malattia"))*8</f>
        <v>0</v>
      </c>
      <c r="I51" s="358" t="s">
        <v>99</v>
      </c>
      <c r="J51" s="360"/>
      <c r="K51" s="358">
        <f>(COUNTIF(I11:I41,"malattia"))*8</f>
        <v>0</v>
      </c>
      <c r="L51" s="358" t="s">
        <v>99</v>
      </c>
      <c r="M51" s="360"/>
      <c r="N51" s="358">
        <f>(COUNTIF(L11:L41,"malattia"))*8</f>
        <v>0</v>
      </c>
      <c r="O51" s="358" t="s">
        <v>99</v>
      </c>
      <c r="P51" s="360"/>
      <c r="Q51" s="358">
        <f>(COUNTIF(O11:O41,"malattia"))*8</f>
        <v>0</v>
      </c>
      <c r="R51" s="358" t="s">
        <v>99</v>
      </c>
      <c r="S51" s="360"/>
      <c r="T51" s="358">
        <f>(COUNTIF(R11:R41,"malattia"))*8</f>
        <v>0</v>
      </c>
    </row>
    <row r="52" spans="2:20" ht="37.200000000000003" thickBot="1" x14ac:dyDescent="0.35">
      <c r="B52" s="690"/>
      <c r="C52" s="361" t="s">
        <v>100</v>
      </c>
      <c r="D52" s="361"/>
      <c r="E52" s="361">
        <f>+E42-$B$54</f>
        <v>-16</v>
      </c>
      <c r="F52" s="361"/>
      <c r="G52" s="361"/>
      <c r="H52" s="361">
        <f>+H42-$B$54</f>
        <v>8</v>
      </c>
      <c r="I52" s="361"/>
      <c r="J52" s="361"/>
      <c r="K52" s="361">
        <f>+K42-$B$54</f>
        <v>8</v>
      </c>
      <c r="L52" s="361"/>
      <c r="M52" s="361"/>
      <c r="N52" s="361">
        <f>+N42-$B$54</f>
        <v>0</v>
      </c>
      <c r="O52" s="361"/>
      <c r="P52" s="361"/>
      <c r="Q52" s="361">
        <f>+Q42-$B$54</f>
        <v>8</v>
      </c>
      <c r="R52" s="361"/>
      <c r="S52" s="361"/>
      <c r="T52" s="361">
        <f>+T42-$B$54</f>
        <v>-8</v>
      </c>
    </row>
    <row r="53" spans="2:20" ht="37.799999999999997" thickTop="1" thickBot="1" x14ac:dyDescent="0.35">
      <c r="B53" s="356">
        <f>+E42+H42+K42+N42+Q42+T42</f>
        <v>1008</v>
      </c>
      <c r="C53" s="360"/>
      <c r="D53" s="360"/>
      <c r="E53" s="360"/>
      <c r="F53" s="360"/>
      <c r="G53" s="360"/>
      <c r="H53" s="360"/>
      <c r="I53" s="360"/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</row>
    <row r="54" spans="2:20" ht="37.200000000000003" thickTop="1" x14ac:dyDescent="0.7">
      <c r="B54" s="357">
        <f>((COUNTA($B$11:$B$41)*8)-(9*8))</f>
        <v>168</v>
      </c>
    </row>
  </sheetData>
  <sheetProtection algorithmName="SHA-512" hashValue="s0GCjvDlZJlLH2kkTiQ8rJ5xakjjNN+saGB7HVmyHmwLJpmpRsu2gAp6RWhAQHIXOt9WfOqWrNc6+Rspj1QJXQ==" saltValue="Z363C4GEbhtFXJAALrvY/A==" spinCount="100000" sheet="1" formatCells="0" formatColumns="0" formatRows="0" insertColumns="0" insertRows="0" insertHyperlinks="0" deleteColumns="0" deleteRows="0" sort="0" autoFilter="0" pivotTables="0"/>
  <mergeCells count="22">
    <mergeCell ref="O7:O8"/>
    <mergeCell ref="B46:B52"/>
    <mergeCell ref="J7:J8"/>
    <mergeCell ref="K7:K8"/>
    <mergeCell ref="L7:L8"/>
    <mergeCell ref="M7:M8"/>
    <mergeCell ref="A5:T5"/>
    <mergeCell ref="A6:B8"/>
    <mergeCell ref="C6:T6"/>
    <mergeCell ref="C7:C8"/>
    <mergeCell ref="D7:D8"/>
    <mergeCell ref="E7:E8"/>
    <mergeCell ref="F7:F8"/>
    <mergeCell ref="G7:G8"/>
    <mergeCell ref="H7:H8"/>
    <mergeCell ref="I7:I8"/>
    <mergeCell ref="P7:P8"/>
    <mergeCell ref="Q7:Q8"/>
    <mergeCell ref="R7:R8"/>
    <mergeCell ref="S7:S8"/>
    <mergeCell ref="T7:T8"/>
    <mergeCell ref="N7:N8"/>
  </mergeCells>
  <conditionalFormatting sqref="E52 G52:H52 J52:K52 M52:N52 P52:Q52 S52:T52">
    <cfRule type="cellIs" dxfId="5" priority="1" operator="greaterThan">
      <formula>0</formula>
    </cfRule>
    <cfRule type="cellIs" dxfId="4" priority="2" operator="lessThan">
      <formula>0</formula>
    </cfRule>
  </conditionalFormatting>
  <pageMargins left="0.7" right="0.7" top="0.75" bottom="0.75" header="0.3" footer="0.3"/>
  <pageSetup paperSize="8" scale="46" orientation="landscape" r:id="rId1"/>
  <colBreaks count="1" manualBreakCount="1">
    <brk id="21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I64"/>
  <sheetViews>
    <sheetView topLeftCell="A19" zoomScale="70" zoomScaleNormal="70" workbookViewId="0">
      <selection activeCell="G61" sqref="G61"/>
    </sheetView>
  </sheetViews>
  <sheetFormatPr defaultRowHeight="14.4" x14ac:dyDescent="0.3"/>
  <cols>
    <col min="1" max="1" width="103.109375" bestFit="1" customWidth="1"/>
    <col min="2" max="2" width="8.33203125" bestFit="1" customWidth="1"/>
    <col min="5" max="5" width="17.33203125" customWidth="1"/>
    <col min="6" max="6" width="19.33203125" bestFit="1" customWidth="1"/>
    <col min="7" max="7" width="30.6640625" customWidth="1"/>
  </cols>
  <sheetData>
    <row r="1" spans="1:8" x14ac:dyDescent="0.3">
      <c r="A1" s="493"/>
      <c r="B1" s="493"/>
      <c r="C1" s="493"/>
      <c r="D1" s="493"/>
      <c r="E1" s="493"/>
      <c r="F1" s="493"/>
      <c r="G1" s="493"/>
      <c r="H1" s="493"/>
    </row>
    <row r="2" spans="1:8" x14ac:dyDescent="0.3">
      <c r="A2" s="493"/>
      <c r="B2" s="493"/>
      <c r="C2" s="493"/>
      <c r="D2" s="493"/>
      <c r="E2" s="493"/>
      <c r="F2" s="493"/>
      <c r="G2" s="493"/>
      <c r="H2" s="493"/>
    </row>
    <row r="3" spans="1:8" x14ac:dyDescent="0.3">
      <c r="A3" s="493"/>
      <c r="B3" s="493"/>
      <c r="C3" s="493"/>
      <c r="D3" s="493"/>
      <c r="E3" s="493"/>
      <c r="F3" s="493"/>
      <c r="G3" s="493"/>
      <c r="H3" s="493"/>
    </row>
    <row r="4" spans="1:8" x14ac:dyDescent="0.3">
      <c r="A4" s="493"/>
      <c r="B4" s="493"/>
      <c r="C4" s="493"/>
      <c r="D4" s="493"/>
      <c r="E4" s="493"/>
      <c r="F4" s="493"/>
      <c r="G4" s="493"/>
      <c r="H4" s="493"/>
    </row>
    <row r="5" spans="1:8" x14ac:dyDescent="0.3">
      <c r="A5" s="493"/>
      <c r="B5" s="493"/>
      <c r="C5" s="493"/>
      <c r="D5" s="493"/>
      <c r="E5" s="493"/>
      <c r="F5" s="493"/>
      <c r="G5" s="493"/>
      <c r="H5" s="493"/>
    </row>
    <row r="6" spans="1:8" x14ac:dyDescent="0.3">
      <c r="A6" s="493"/>
      <c r="B6" s="493"/>
      <c r="C6" s="493"/>
      <c r="D6" s="493"/>
      <c r="E6" s="493"/>
      <c r="F6" s="493"/>
      <c r="G6" s="493"/>
      <c r="H6" s="493"/>
    </row>
    <row r="7" spans="1:8" x14ac:dyDescent="0.3">
      <c r="A7" s="494" t="s">
        <v>101</v>
      </c>
      <c r="B7" s="495"/>
      <c r="C7" s="495"/>
      <c r="D7" s="495"/>
      <c r="E7" s="495"/>
      <c r="F7" s="495"/>
      <c r="G7" s="495"/>
      <c r="H7" s="493"/>
    </row>
    <row r="8" spans="1:8" x14ac:dyDescent="0.3">
      <c r="A8" s="495" t="s">
        <v>102</v>
      </c>
      <c r="B8" s="496">
        <v>18.3</v>
      </c>
      <c r="C8" s="495"/>
      <c r="D8" s="495"/>
      <c r="E8" s="495"/>
      <c r="F8" s="495"/>
      <c r="G8" s="495"/>
      <c r="H8" s="493"/>
    </row>
    <row r="9" spans="1:8" x14ac:dyDescent="0.3">
      <c r="A9" s="495" t="s">
        <v>103</v>
      </c>
      <c r="B9" s="496"/>
      <c r="C9" s="495"/>
      <c r="D9" s="495"/>
      <c r="E9" s="495"/>
      <c r="F9" s="495"/>
      <c r="G9" s="495"/>
      <c r="H9" s="493"/>
    </row>
    <row r="10" spans="1:8" x14ac:dyDescent="0.3">
      <c r="A10" s="495" t="s">
        <v>104</v>
      </c>
      <c r="B10" s="497">
        <v>0.26500000000000001</v>
      </c>
      <c r="C10" s="495"/>
      <c r="D10" s="495"/>
      <c r="E10" s="495"/>
      <c r="F10" s="496"/>
      <c r="G10" s="495"/>
      <c r="H10" s="493"/>
    </row>
    <row r="11" spans="1:8" x14ac:dyDescent="0.3">
      <c r="A11" s="495" t="s">
        <v>105</v>
      </c>
      <c r="B11" s="496">
        <f>B8*1.265</f>
        <v>23.1495</v>
      </c>
      <c r="C11" s="495"/>
      <c r="D11" s="495"/>
      <c r="E11" s="495"/>
      <c r="F11" s="495"/>
      <c r="G11" s="495"/>
      <c r="H11" s="493"/>
    </row>
    <row r="12" spans="1:8" x14ac:dyDescent="0.3">
      <c r="A12" s="495" t="s">
        <v>106</v>
      </c>
      <c r="B12" s="498">
        <v>0.31</v>
      </c>
      <c r="C12" s="495"/>
      <c r="D12" s="495"/>
      <c r="E12" s="495"/>
      <c r="F12" s="495"/>
      <c r="G12" s="495"/>
      <c r="H12" s="493"/>
    </row>
    <row r="13" spans="1:8" x14ac:dyDescent="0.3">
      <c r="A13" s="495" t="s">
        <v>107</v>
      </c>
      <c r="B13" s="496">
        <f>18.3*0.265*0.69</f>
        <v>3.3461550000000004</v>
      </c>
      <c r="C13" s="495"/>
      <c r="D13" s="495"/>
      <c r="E13" s="495"/>
      <c r="F13" s="495"/>
      <c r="G13" s="495"/>
      <c r="H13" s="493"/>
    </row>
    <row r="14" spans="1:8" x14ac:dyDescent="0.3">
      <c r="A14" s="495" t="s">
        <v>108</v>
      </c>
      <c r="B14" s="499">
        <f>B8+B13</f>
        <v>21.646155</v>
      </c>
      <c r="C14" s="495"/>
      <c r="D14" s="495"/>
      <c r="E14" s="495"/>
      <c r="F14" s="495"/>
      <c r="G14" s="495"/>
      <c r="H14" s="493"/>
    </row>
    <row r="15" spans="1:8" x14ac:dyDescent="0.3">
      <c r="A15" s="495"/>
      <c r="B15" s="530"/>
      <c r="C15" s="495"/>
      <c r="D15" s="495"/>
      <c r="E15" s="495"/>
      <c r="F15" s="495"/>
      <c r="G15" s="495"/>
      <c r="H15" s="493"/>
    </row>
    <row r="16" spans="1:8" ht="21" thickBot="1" x14ac:dyDescent="0.4">
      <c r="A16" s="608" t="s">
        <v>144</v>
      </c>
      <c r="B16" s="609"/>
      <c r="C16" s="609"/>
      <c r="D16" s="609"/>
      <c r="E16" s="609"/>
      <c r="F16" s="609"/>
      <c r="G16" s="609"/>
      <c r="H16" s="493"/>
    </row>
    <row r="17" spans="1:9" x14ac:dyDescent="0.3">
      <c r="A17" s="500" t="s">
        <v>119</v>
      </c>
      <c r="B17" s="501"/>
      <c r="C17" s="501"/>
      <c r="D17" s="501"/>
      <c r="E17" s="501"/>
      <c r="F17" s="501"/>
      <c r="G17" s="502"/>
      <c r="H17" s="493"/>
    </row>
    <row r="18" spans="1:9" ht="27.6" x14ac:dyDescent="0.3">
      <c r="A18" s="503" t="s">
        <v>120</v>
      </c>
      <c r="B18" s="538" t="s">
        <v>121</v>
      </c>
      <c r="C18" s="538" t="s">
        <v>122</v>
      </c>
      <c r="D18" s="538" t="s">
        <v>123</v>
      </c>
      <c r="E18" s="539" t="s">
        <v>124</v>
      </c>
      <c r="F18" s="538" t="s">
        <v>125</v>
      </c>
      <c r="G18" s="540" t="s">
        <v>113</v>
      </c>
      <c r="H18" s="493"/>
      <c r="I18" s="541" t="s">
        <v>62</v>
      </c>
    </row>
    <row r="19" spans="1:9" x14ac:dyDescent="0.3">
      <c r="A19" s="507" t="s">
        <v>127</v>
      </c>
      <c r="B19" s="508">
        <v>2.5</v>
      </c>
      <c r="C19" s="509"/>
      <c r="D19" s="510">
        <f>B19*C19</f>
        <v>0</v>
      </c>
      <c r="E19" s="511"/>
      <c r="F19" s="512">
        <f>18.3*1.265-(18.3*0.265*0.31)</f>
        <v>21.646155</v>
      </c>
      <c r="G19" s="513">
        <f>D19*F19</f>
        <v>0</v>
      </c>
      <c r="H19" s="493"/>
      <c r="I19" s="542" t="s">
        <v>145</v>
      </c>
    </row>
    <row r="20" spans="1:9" x14ac:dyDescent="0.3">
      <c r="A20" s="514" t="s">
        <v>129</v>
      </c>
      <c r="B20" s="508">
        <v>5.5</v>
      </c>
      <c r="C20" s="509"/>
      <c r="D20" s="510">
        <f>B20*C20</f>
        <v>0</v>
      </c>
      <c r="E20" s="511">
        <v>0.3</v>
      </c>
      <c r="F20" s="512">
        <f>18.3*1.3*1.265-(18.3*1.3*0.265*0.31)</f>
        <v>28.1400015</v>
      </c>
      <c r="G20" s="513">
        <f>D20*F20</f>
        <v>0</v>
      </c>
      <c r="H20" s="493"/>
      <c r="I20" s="542" t="s">
        <v>146</v>
      </c>
    </row>
    <row r="21" spans="1:9" ht="15" thickBot="1" x14ac:dyDescent="0.35">
      <c r="A21" s="507" t="s">
        <v>130</v>
      </c>
      <c r="B21" s="508">
        <v>8</v>
      </c>
      <c r="C21" s="509"/>
      <c r="D21" s="508">
        <f>B21*C21</f>
        <v>0</v>
      </c>
      <c r="E21" s="511">
        <v>0.5</v>
      </c>
      <c r="F21" s="512">
        <f>18.3*1.5*1.265-(18.3*1.5*0.265*0.31)</f>
        <v>32.469232499999997</v>
      </c>
      <c r="G21" s="513">
        <f>D21*F21</f>
        <v>0</v>
      </c>
      <c r="H21" s="493"/>
      <c r="I21" s="542" t="s">
        <v>147</v>
      </c>
    </row>
    <row r="22" spans="1:9" ht="15.6" thickTop="1" thickBot="1" x14ac:dyDescent="0.35">
      <c r="A22" s="507"/>
      <c r="B22" s="508"/>
      <c r="C22" s="515"/>
      <c r="D22" s="570">
        <f>SUM(D19:D21)</f>
        <v>0</v>
      </c>
      <c r="E22" s="516"/>
      <c r="F22" s="515"/>
      <c r="G22" s="517">
        <f>SUM(G19:G21)</f>
        <v>0</v>
      </c>
      <c r="H22" s="493"/>
    </row>
    <row r="23" spans="1:9" x14ac:dyDescent="0.3">
      <c r="A23" s="507"/>
      <c r="B23" s="508"/>
      <c r="C23" s="508"/>
      <c r="D23" s="518"/>
      <c r="E23" s="508"/>
      <c r="F23" s="508"/>
      <c r="G23" s="519"/>
      <c r="H23" s="493"/>
    </row>
    <row r="24" spans="1:9" ht="15" thickBot="1" x14ac:dyDescent="0.35">
      <c r="A24" s="520"/>
      <c r="B24" s="521"/>
      <c r="C24" s="521"/>
      <c r="D24" s="521"/>
      <c r="E24" s="521"/>
      <c r="F24" s="522"/>
      <c r="G24" s="523"/>
      <c r="H24" s="493"/>
    </row>
    <row r="25" spans="1:9" ht="15" thickBot="1" x14ac:dyDescent="0.35">
      <c r="A25" s="495"/>
      <c r="B25" s="495"/>
      <c r="C25" s="495"/>
      <c r="D25" s="495"/>
      <c r="E25" s="495"/>
      <c r="F25" s="495"/>
      <c r="G25" s="495"/>
      <c r="H25" s="493"/>
    </row>
    <row r="26" spans="1:9" x14ac:dyDescent="0.3">
      <c r="A26" s="500" t="s">
        <v>111</v>
      </c>
      <c r="B26" s="501"/>
      <c r="C26" s="501"/>
      <c r="D26" s="501"/>
      <c r="E26" s="501"/>
      <c r="F26" s="501"/>
      <c r="G26" s="502"/>
      <c r="H26" s="493"/>
    </row>
    <row r="27" spans="1:9" ht="28.2" x14ac:dyDescent="0.3">
      <c r="A27" s="503" t="s">
        <v>120</v>
      </c>
      <c r="B27" s="504" t="s">
        <v>121</v>
      </c>
      <c r="C27" s="504" t="s">
        <v>132</v>
      </c>
      <c r="D27" s="518"/>
      <c r="E27" s="505" t="s">
        <v>124</v>
      </c>
      <c r="F27" s="504" t="s">
        <v>125</v>
      </c>
      <c r="G27" s="506" t="s">
        <v>113</v>
      </c>
      <c r="H27" s="493"/>
    </row>
    <row r="28" spans="1:9" x14ac:dyDescent="0.3">
      <c r="A28" s="514" t="s">
        <v>133</v>
      </c>
      <c r="B28" s="508"/>
      <c r="C28" s="524"/>
      <c r="D28" s="518"/>
      <c r="E28" s="511"/>
      <c r="F28" s="512"/>
      <c r="G28" s="513"/>
      <c r="H28" s="493"/>
    </row>
    <row r="29" spans="1:9" x14ac:dyDescent="0.3">
      <c r="A29" s="525"/>
      <c r="B29" s="508"/>
      <c r="C29" s="524">
        <v>46235</v>
      </c>
      <c r="D29" s="518"/>
      <c r="E29" s="511" t="s">
        <v>134</v>
      </c>
      <c r="F29" s="512">
        <f t="shared" ref="F29:F59" si="0">18.3*1.265-(18.3*0.265*0.31)</f>
        <v>21.646155</v>
      </c>
      <c r="G29" s="513">
        <f t="shared" ref="G29" si="1">B29*F29</f>
        <v>0</v>
      </c>
      <c r="H29" s="493"/>
    </row>
    <row r="30" spans="1:9" x14ac:dyDescent="0.3">
      <c r="A30" s="525"/>
      <c r="B30" s="603"/>
      <c r="C30" s="524">
        <v>46236</v>
      </c>
      <c r="D30" s="518"/>
      <c r="E30" s="511" t="s">
        <v>134</v>
      </c>
      <c r="F30" s="512">
        <f t="shared" si="0"/>
        <v>21.646155</v>
      </c>
      <c r="G30" s="513">
        <f t="shared" ref="G30:G59" si="2">B30*F30</f>
        <v>0</v>
      </c>
      <c r="H30" s="493"/>
    </row>
    <row r="31" spans="1:9" x14ac:dyDescent="0.3">
      <c r="A31" s="525"/>
      <c r="B31" s="603"/>
      <c r="C31" s="524">
        <v>46237</v>
      </c>
      <c r="D31" s="518"/>
      <c r="E31" s="511" t="s">
        <v>134</v>
      </c>
      <c r="F31" s="512">
        <f t="shared" si="0"/>
        <v>21.646155</v>
      </c>
      <c r="G31" s="513">
        <f t="shared" si="2"/>
        <v>0</v>
      </c>
      <c r="H31" s="493"/>
    </row>
    <row r="32" spans="1:9" x14ac:dyDescent="0.3">
      <c r="A32" s="525"/>
      <c r="B32" s="603"/>
      <c r="C32" s="524">
        <v>46238</v>
      </c>
      <c r="D32" s="518"/>
      <c r="E32" s="511" t="s">
        <v>134</v>
      </c>
      <c r="F32" s="512">
        <f t="shared" si="0"/>
        <v>21.646155</v>
      </c>
      <c r="G32" s="513">
        <f t="shared" si="2"/>
        <v>0</v>
      </c>
      <c r="H32" s="493"/>
    </row>
    <row r="33" spans="1:8" x14ac:dyDescent="0.3">
      <c r="A33" s="525"/>
      <c r="B33" s="603"/>
      <c r="C33" s="524">
        <v>46239</v>
      </c>
      <c r="D33" s="518"/>
      <c r="E33" s="511" t="s">
        <v>134</v>
      </c>
      <c r="F33" s="512">
        <f t="shared" si="0"/>
        <v>21.646155</v>
      </c>
      <c r="G33" s="513">
        <f t="shared" si="2"/>
        <v>0</v>
      </c>
      <c r="H33" s="493"/>
    </row>
    <row r="34" spans="1:8" x14ac:dyDescent="0.3">
      <c r="A34" s="525"/>
      <c r="B34" s="603"/>
      <c r="C34" s="524">
        <v>46240</v>
      </c>
      <c r="D34" s="518"/>
      <c r="E34" s="511" t="s">
        <v>134</v>
      </c>
      <c r="F34" s="512">
        <f t="shared" si="0"/>
        <v>21.646155</v>
      </c>
      <c r="G34" s="513">
        <f t="shared" si="2"/>
        <v>0</v>
      </c>
      <c r="H34" s="493"/>
    </row>
    <row r="35" spans="1:8" x14ac:dyDescent="0.3">
      <c r="A35" s="525"/>
      <c r="B35" s="603"/>
      <c r="C35" s="524">
        <v>46241</v>
      </c>
      <c r="D35" s="518"/>
      <c r="E35" s="511" t="s">
        <v>134</v>
      </c>
      <c r="F35" s="512">
        <f t="shared" si="0"/>
        <v>21.646155</v>
      </c>
      <c r="G35" s="513">
        <f t="shared" si="2"/>
        <v>0</v>
      </c>
      <c r="H35" s="493"/>
    </row>
    <row r="36" spans="1:8" x14ac:dyDescent="0.3">
      <c r="A36" s="525"/>
      <c r="B36" s="603"/>
      <c r="C36" s="524">
        <v>46242</v>
      </c>
      <c r="D36" s="518"/>
      <c r="E36" s="511" t="s">
        <v>134</v>
      </c>
      <c r="F36" s="512">
        <f t="shared" si="0"/>
        <v>21.646155</v>
      </c>
      <c r="G36" s="513">
        <f t="shared" si="2"/>
        <v>0</v>
      </c>
      <c r="H36" s="493"/>
    </row>
    <row r="37" spans="1:8" x14ac:dyDescent="0.3">
      <c r="A37" s="525"/>
      <c r="B37" s="603"/>
      <c r="C37" s="524">
        <v>46243</v>
      </c>
      <c r="D37" s="518"/>
      <c r="E37" s="511" t="s">
        <v>134</v>
      </c>
      <c r="F37" s="512">
        <f t="shared" si="0"/>
        <v>21.646155</v>
      </c>
      <c r="G37" s="513">
        <f t="shared" si="2"/>
        <v>0</v>
      </c>
      <c r="H37" s="493"/>
    </row>
    <row r="38" spans="1:8" x14ac:dyDescent="0.3">
      <c r="A38" s="525"/>
      <c r="B38" s="603"/>
      <c r="C38" s="524">
        <v>46244</v>
      </c>
      <c r="D38" s="518"/>
      <c r="E38" s="511" t="s">
        <v>134</v>
      </c>
      <c r="F38" s="512">
        <f t="shared" si="0"/>
        <v>21.646155</v>
      </c>
      <c r="G38" s="513">
        <f t="shared" si="2"/>
        <v>0</v>
      </c>
      <c r="H38" s="493"/>
    </row>
    <row r="39" spans="1:8" x14ac:dyDescent="0.3">
      <c r="A39" s="525"/>
      <c r="B39" s="603"/>
      <c r="C39" s="524">
        <v>46245</v>
      </c>
      <c r="D39" s="518"/>
      <c r="E39" s="511" t="s">
        <v>134</v>
      </c>
      <c r="F39" s="512">
        <f t="shared" si="0"/>
        <v>21.646155</v>
      </c>
      <c r="G39" s="513">
        <f t="shared" si="2"/>
        <v>0</v>
      </c>
      <c r="H39" s="493"/>
    </row>
    <row r="40" spans="1:8" x14ac:dyDescent="0.3">
      <c r="A40" s="525"/>
      <c r="B40" s="603"/>
      <c r="C40" s="524">
        <v>46246</v>
      </c>
      <c r="D40" s="518"/>
      <c r="E40" s="511" t="s">
        <v>134</v>
      </c>
      <c r="F40" s="512">
        <f t="shared" si="0"/>
        <v>21.646155</v>
      </c>
      <c r="G40" s="513">
        <f t="shared" si="2"/>
        <v>0</v>
      </c>
      <c r="H40" s="493"/>
    </row>
    <row r="41" spans="1:8" x14ac:dyDescent="0.3">
      <c r="A41" s="525"/>
      <c r="B41" s="603"/>
      <c r="C41" s="524">
        <v>46247</v>
      </c>
      <c r="D41" s="518"/>
      <c r="E41" s="511" t="s">
        <v>134</v>
      </c>
      <c r="F41" s="512">
        <f t="shared" si="0"/>
        <v>21.646155</v>
      </c>
      <c r="G41" s="513">
        <f t="shared" si="2"/>
        <v>0</v>
      </c>
      <c r="H41" s="493"/>
    </row>
    <row r="42" spans="1:8" x14ac:dyDescent="0.3">
      <c r="A42" s="525"/>
      <c r="B42" s="603"/>
      <c r="C42" s="524">
        <v>46248</v>
      </c>
      <c r="D42" s="518"/>
      <c r="E42" s="511" t="s">
        <v>134</v>
      </c>
      <c r="F42" s="512">
        <f t="shared" si="0"/>
        <v>21.646155</v>
      </c>
      <c r="G42" s="513">
        <f t="shared" si="2"/>
        <v>0</v>
      </c>
      <c r="H42" s="493"/>
    </row>
    <row r="43" spans="1:8" x14ac:dyDescent="0.3">
      <c r="A43" s="525"/>
      <c r="B43" s="603"/>
      <c r="C43" s="524">
        <v>46249</v>
      </c>
      <c r="D43" s="518"/>
      <c r="E43" s="511" t="s">
        <v>134</v>
      </c>
      <c r="F43" s="512">
        <f t="shared" si="0"/>
        <v>21.646155</v>
      </c>
      <c r="G43" s="513">
        <f t="shared" si="2"/>
        <v>0</v>
      </c>
      <c r="H43" s="493"/>
    </row>
    <row r="44" spans="1:8" x14ac:dyDescent="0.3">
      <c r="A44" s="525"/>
      <c r="B44" s="603"/>
      <c r="C44" s="524">
        <v>46250</v>
      </c>
      <c r="D44" s="518"/>
      <c r="E44" s="511" t="s">
        <v>134</v>
      </c>
      <c r="F44" s="512">
        <f t="shared" si="0"/>
        <v>21.646155</v>
      </c>
      <c r="G44" s="513">
        <f t="shared" si="2"/>
        <v>0</v>
      </c>
      <c r="H44" s="493"/>
    </row>
    <row r="45" spans="1:8" x14ac:dyDescent="0.3">
      <c r="A45" s="525"/>
      <c r="B45" s="603"/>
      <c r="C45" s="524">
        <v>46251</v>
      </c>
      <c r="D45" s="518"/>
      <c r="E45" s="511" t="s">
        <v>134</v>
      </c>
      <c r="F45" s="512">
        <f t="shared" si="0"/>
        <v>21.646155</v>
      </c>
      <c r="G45" s="513">
        <f t="shared" si="2"/>
        <v>0</v>
      </c>
      <c r="H45" s="493"/>
    </row>
    <row r="46" spans="1:8" x14ac:dyDescent="0.3">
      <c r="A46" s="525"/>
      <c r="B46" s="603"/>
      <c r="C46" s="524">
        <v>46252</v>
      </c>
      <c r="D46" s="518"/>
      <c r="E46" s="511" t="s">
        <v>134</v>
      </c>
      <c r="F46" s="512">
        <f t="shared" si="0"/>
        <v>21.646155</v>
      </c>
      <c r="G46" s="513">
        <f t="shared" si="2"/>
        <v>0</v>
      </c>
      <c r="H46" s="493"/>
    </row>
    <row r="47" spans="1:8" x14ac:dyDescent="0.3">
      <c r="A47" s="525"/>
      <c r="B47" s="603"/>
      <c r="C47" s="524">
        <v>46253</v>
      </c>
      <c r="D47" s="518"/>
      <c r="E47" s="511" t="s">
        <v>134</v>
      </c>
      <c r="F47" s="512">
        <f t="shared" si="0"/>
        <v>21.646155</v>
      </c>
      <c r="G47" s="513">
        <f t="shared" si="2"/>
        <v>0</v>
      </c>
      <c r="H47" s="493"/>
    </row>
    <row r="48" spans="1:8" x14ac:dyDescent="0.3">
      <c r="A48" s="525"/>
      <c r="B48" s="603"/>
      <c r="C48" s="524">
        <v>46254</v>
      </c>
      <c r="D48" s="518"/>
      <c r="E48" s="511" t="s">
        <v>134</v>
      </c>
      <c r="F48" s="512">
        <f t="shared" si="0"/>
        <v>21.646155</v>
      </c>
      <c r="G48" s="513">
        <f t="shared" si="2"/>
        <v>0</v>
      </c>
      <c r="H48" s="493"/>
    </row>
    <row r="49" spans="1:8" x14ac:dyDescent="0.3">
      <c r="A49" s="525"/>
      <c r="B49" s="603"/>
      <c r="C49" s="524">
        <v>46255</v>
      </c>
      <c r="D49" s="518"/>
      <c r="E49" s="511" t="s">
        <v>134</v>
      </c>
      <c r="F49" s="512">
        <f t="shared" si="0"/>
        <v>21.646155</v>
      </c>
      <c r="G49" s="513">
        <f t="shared" si="2"/>
        <v>0</v>
      </c>
      <c r="H49" s="493"/>
    </row>
    <row r="50" spans="1:8" x14ac:dyDescent="0.3">
      <c r="A50" s="525"/>
      <c r="B50" s="603"/>
      <c r="C50" s="524">
        <v>46256</v>
      </c>
      <c r="D50" s="518"/>
      <c r="E50" s="511" t="s">
        <v>134</v>
      </c>
      <c r="F50" s="512">
        <f t="shared" si="0"/>
        <v>21.646155</v>
      </c>
      <c r="G50" s="513">
        <f t="shared" si="2"/>
        <v>0</v>
      </c>
      <c r="H50" s="493"/>
    </row>
    <row r="51" spans="1:8" x14ac:dyDescent="0.3">
      <c r="A51" s="525"/>
      <c r="B51" s="603"/>
      <c r="C51" s="524">
        <v>46257</v>
      </c>
      <c r="D51" s="518"/>
      <c r="E51" s="511" t="s">
        <v>134</v>
      </c>
      <c r="F51" s="512">
        <f t="shared" si="0"/>
        <v>21.646155</v>
      </c>
      <c r="G51" s="513">
        <f t="shared" si="2"/>
        <v>0</v>
      </c>
      <c r="H51" s="493"/>
    </row>
    <row r="52" spans="1:8" x14ac:dyDescent="0.3">
      <c r="A52" s="525"/>
      <c r="B52" s="603"/>
      <c r="C52" s="524">
        <v>46258</v>
      </c>
      <c r="D52" s="518"/>
      <c r="E52" s="511" t="s">
        <v>134</v>
      </c>
      <c r="F52" s="512">
        <f t="shared" si="0"/>
        <v>21.646155</v>
      </c>
      <c r="G52" s="513">
        <f t="shared" si="2"/>
        <v>0</v>
      </c>
      <c r="H52" s="493"/>
    </row>
    <row r="53" spans="1:8" x14ac:dyDescent="0.3">
      <c r="A53" s="525"/>
      <c r="B53" s="603"/>
      <c r="C53" s="524">
        <v>46259</v>
      </c>
      <c r="D53" s="518"/>
      <c r="E53" s="511" t="s">
        <v>134</v>
      </c>
      <c r="F53" s="512">
        <f t="shared" si="0"/>
        <v>21.646155</v>
      </c>
      <c r="G53" s="513">
        <f t="shared" si="2"/>
        <v>0</v>
      </c>
      <c r="H53" s="493"/>
    </row>
    <row r="54" spans="1:8" x14ac:dyDescent="0.3">
      <c r="A54" s="525"/>
      <c r="B54" s="603"/>
      <c r="C54" s="524">
        <v>46260</v>
      </c>
      <c r="D54" s="518"/>
      <c r="E54" s="511" t="s">
        <v>134</v>
      </c>
      <c r="F54" s="512">
        <f t="shared" si="0"/>
        <v>21.646155</v>
      </c>
      <c r="G54" s="513">
        <f t="shared" si="2"/>
        <v>0</v>
      </c>
      <c r="H54" s="493"/>
    </row>
    <row r="55" spans="1:8" x14ac:dyDescent="0.3">
      <c r="A55" s="525"/>
      <c r="B55" s="603"/>
      <c r="C55" s="524">
        <v>46261</v>
      </c>
      <c r="D55" s="518"/>
      <c r="E55" s="511" t="s">
        <v>134</v>
      </c>
      <c r="F55" s="512">
        <f t="shared" si="0"/>
        <v>21.646155</v>
      </c>
      <c r="G55" s="513">
        <f t="shared" si="2"/>
        <v>0</v>
      </c>
      <c r="H55" s="493"/>
    </row>
    <row r="56" spans="1:8" x14ac:dyDescent="0.3">
      <c r="A56" s="525"/>
      <c r="B56" s="603"/>
      <c r="C56" s="524">
        <v>46262</v>
      </c>
      <c r="D56" s="518"/>
      <c r="E56" s="511" t="s">
        <v>134</v>
      </c>
      <c r="F56" s="512">
        <f t="shared" si="0"/>
        <v>21.646155</v>
      </c>
      <c r="G56" s="513">
        <f t="shared" si="2"/>
        <v>0</v>
      </c>
      <c r="H56" s="493"/>
    </row>
    <row r="57" spans="1:8" x14ac:dyDescent="0.3">
      <c r="A57" s="525"/>
      <c r="B57" s="603"/>
      <c r="C57" s="524">
        <v>46263</v>
      </c>
      <c r="D57" s="518"/>
      <c r="E57" s="511" t="s">
        <v>134</v>
      </c>
      <c r="F57" s="512">
        <f t="shared" si="0"/>
        <v>21.646155</v>
      </c>
      <c r="G57" s="513">
        <f t="shared" si="2"/>
        <v>0</v>
      </c>
      <c r="H57" s="493"/>
    </row>
    <row r="58" spans="1:8" x14ac:dyDescent="0.3">
      <c r="A58" s="525"/>
      <c r="B58" s="603"/>
      <c r="C58" s="524">
        <v>46264</v>
      </c>
      <c r="D58" s="518"/>
      <c r="E58" s="511" t="s">
        <v>134</v>
      </c>
      <c r="F58" s="512">
        <f t="shared" si="0"/>
        <v>21.646155</v>
      </c>
      <c r="G58" s="513">
        <f t="shared" si="2"/>
        <v>0</v>
      </c>
      <c r="H58" s="493"/>
    </row>
    <row r="59" spans="1:8" ht="15" thickBot="1" x14ac:dyDescent="0.35">
      <c r="A59" s="525"/>
      <c r="B59" s="603"/>
      <c r="C59" s="524">
        <v>46265</v>
      </c>
      <c r="D59" s="518"/>
      <c r="E59" s="511" t="s">
        <v>134</v>
      </c>
      <c r="F59" s="512">
        <f t="shared" si="0"/>
        <v>21.646155</v>
      </c>
      <c r="G59" s="513">
        <f t="shared" si="2"/>
        <v>0</v>
      </c>
      <c r="H59" s="493"/>
    </row>
    <row r="60" spans="1:8" ht="15.6" thickTop="1" thickBot="1" x14ac:dyDescent="0.35">
      <c r="A60" s="520"/>
      <c r="B60" s="521"/>
      <c r="C60" s="521"/>
      <c r="D60" s="521"/>
      <c r="E60" s="521" t="s">
        <v>135</v>
      </c>
      <c r="F60" s="522"/>
      <c r="G60" s="526">
        <f>SUM(G29:G59)</f>
        <v>0</v>
      </c>
      <c r="H60" s="493"/>
    </row>
    <row r="61" spans="1:8" x14ac:dyDescent="0.3">
      <c r="A61" s="495"/>
      <c r="B61" s="495"/>
      <c r="C61" s="495"/>
      <c r="D61" s="495"/>
      <c r="E61" s="495"/>
      <c r="F61" s="495"/>
      <c r="G61" s="495"/>
      <c r="H61" s="493"/>
    </row>
    <row r="62" spans="1:8" ht="15" thickBot="1" x14ac:dyDescent="0.35">
      <c r="A62" s="495"/>
      <c r="B62" s="495"/>
      <c r="C62" s="495"/>
      <c r="D62" s="495"/>
      <c r="E62" s="495"/>
      <c r="F62" s="495"/>
      <c r="G62" s="495"/>
      <c r="H62" s="493"/>
    </row>
    <row r="63" spans="1:8" ht="21.6" thickTop="1" thickBot="1" x14ac:dyDescent="0.4">
      <c r="A63" s="495"/>
      <c r="B63" s="495"/>
      <c r="C63" s="495"/>
      <c r="D63" s="495"/>
      <c r="E63" s="495"/>
      <c r="F63" s="527" t="s">
        <v>115</v>
      </c>
      <c r="G63" s="528">
        <f>G22+G60</f>
        <v>0</v>
      </c>
      <c r="H63" s="529" t="s">
        <v>116</v>
      </c>
    </row>
    <row r="64" spans="1:8" ht="15" thickTop="1" x14ac:dyDescent="0.3"/>
  </sheetData>
  <mergeCells count="1">
    <mergeCell ref="A16:G16"/>
  </mergeCells>
  <phoneticPr fontId="44" type="noConversion"/>
  <pageMargins left="0.7" right="0.7" top="0.75" bottom="0.75" header="0.3" footer="0.3"/>
  <pageSetup paperSize="8" scale="6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I63"/>
  <sheetViews>
    <sheetView topLeftCell="A8" zoomScale="70" zoomScaleNormal="70" workbookViewId="0">
      <selection activeCell="G22" sqref="G22"/>
    </sheetView>
  </sheetViews>
  <sheetFormatPr defaultRowHeight="14.4" x14ac:dyDescent="0.3"/>
  <cols>
    <col min="1" max="1" width="103.109375" bestFit="1" customWidth="1"/>
    <col min="2" max="2" width="8.33203125" bestFit="1" customWidth="1"/>
    <col min="3" max="3" width="12.33203125" bestFit="1" customWidth="1"/>
    <col min="5" max="5" width="17.88671875" customWidth="1"/>
    <col min="6" max="6" width="19.33203125" bestFit="1" customWidth="1"/>
    <col min="7" max="7" width="30.6640625" customWidth="1"/>
  </cols>
  <sheetData>
    <row r="1" spans="1:8" x14ac:dyDescent="0.3">
      <c r="A1" s="493"/>
      <c r="B1" s="493"/>
      <c r="C1" s="493"/>
      <c r="D1" s="493"/>
      <c r="E1" s="493"/>
      <c r="F1" s="493"/>
      <c r="G1" s="493"/>
      <c r="H1" s="493"/>
    </row>
    <row r="2" spans="1:8" x14ac:dyDescent="0.3">
      <c r="A2" s="493"/>
      <c r="B2" s="493"/>
      <c r="C2" s="493"/>
      <c r="D2" s="493"/>
      <c r="E2" s="493"/>
      <c r="F2" s="493"/>
      <c r="G2" s="493"/>
      <c r="H2" s="493"/>
    </row>
    <row r="3" spans="1:8" x14ac:dyDescent="0.3">
      <c r="A3" s="493"/>
      <c r="B3" s="493"/>
      <c r="C3" s="493"/>
      <c r="D3" s="493"/>
      <c r="E3" s="493"/>
      <c r="F3" s="493"/>
      <c r="G3" s="493"/>
      <c r="H3" s="493"/>
    </row>
    <row r="4" spans="1:8" x14ac:dyDescent="0.3">
      <c r="A4" s="493"/>
      <c r="B4" s="493"/>
      <c r="C4" s="493"/>
      <c r="D4" s="493"/>
      <c r="E4" s="493"/>
      <c r="F4" s="493"/>
      <c r="G4" s="493"/>
      <c r="H4" s="493"/>
    </row>
    <row r="5" spans="1:8" x14ac:dyDescent="0.3">
      <c r="A5" s="493"/>
      <c r="B5" s="493"/>
      <c r="C5" s="493"/>
      <c r="D5" s="493"/>
      <c r="E5" s="493"/>
      <c r="F5" s="493"/>
      <c r="G5" s="493"/>
      <c r="H5" s="493"/>
    </row>
    <row r="6" spans="1:8" x14ac:dyDescent="0.3">
      <c r="A6" s="493"/>
      <c r="B6" s="493"/>
      <c r="C6" s="493"/>
      <c r="D6" s="493"/>
      <c r="E6" s="493"/>
      <c r="F6" s="493"/>
      <c r="G6" s="493"/>
      <c r="H6" s="493"/>
    </row>
    <row r="7" spans="1:8" x14ac:dyDescent="0.3">
      <c r="A7" s="494" t="s">
        <v>101</v>
      </c>
      <c r="B7" s="495"/>
      <c r="C7" s="495"/>
      <c r="D7" s="495"/>
      <c r="E7" s="495"/>
      <c r="F7" s="495"/>
      <c r="G7" s="495"/>
      <c r="H7" s="493"/>
    </row>
    <row r="8" spans="1:8" x14ac:dyDescent="0.3">
      <c r="A8" s="495" t="s">
        <v>102</v>
      </c>
      <c r="B8" s="496">
        <v>18.3</v>
      </c>
      <c r="C8" s="495"/>
      <c r="D8" s="495"/>
      <c r="E8" s="495"/>
      <c r="F8" s="495"/>
      <c r="G8" s="495"/>
      <c r="H8" s="493"/>
    </row>
    <row r="9" spans="1:8" x14ac:dyDescent="0.3">
      <c r="A9" s="495" t="s">
        <v>103</v>
      </c>
      <c r="B9" s="496"/>
      <c r="C9" s="495"/>
      <c r="D9" s="495"/>
      <c r="E9" s="495"/>
      <c r="F9" s="495"/>
      <c r="G9" s="495"/>
      <c r="H9" s="493"/>
    </row>
    <row r="10" spans="1:8" x14ac:dyDescent="0.3">
      <c r="A10" s="495" t="s">
        <v>104</v>
      </c>
      <c r="B10" s="497">
        <v>0.26500000000000001</v>
      </c>
      <c r="C10" s="495"/>
      <c r="D10" s="495"/>
      <c r="E10" s="495"/>
      <c r="F10" s="496"/>
      <c r="G10" s="495"/>
      <c r="H10" s="493"/>
    </row>
    <row r="11" spans="1:8" x14ac:dyDescent="0.3">
      <c r="A11" s="495" t="s">
        <v>105</v>
      </c>
      <c r="B11" s="496">
        <f>B8*1.265</f>
        <v>23.1495</v>
      </c>
      <c r="C11" s="495"/>
      <c r="D11" s="495"/>
      <c r="E11" s="495"/>
      <c r="F11" s="495"/>
      <c r="G11" s="495"/>
      <c r="H11" s="493"/>
    </row>
    <row r="12" spans="1:8" x14ac:dyDescent="0.3">
      <c r="A12" s="495" t="s">
        <v>106</v>
      </c>
      <c r="B12" s="498">
        <v>0.31</v>
      </c>
      <c r="C12" s="495"/>
      <c r="D12" s="495"/>
      <c r="E12" s="495"/>
      <c r="F12" s="495"/>
      <c r="G12" s="495"/>
      <c r="H12" s="493"/>
    </row>
    <row r="13" spans="1:8" x14ac:dyDescent="0.3">
      <c r="A13" s="495" t="s">
        <v>107</v>
      </c>
      <c r="B13" s="496">
        <f>18.3*0.265*0.69</f>
        <v>3.3461550000000004</v>
      </c>
      <c r="C13" s="495"/>
      <c r="D13" s="495"/>
      <c r="E13" s="495"/>
      <c r="F13" s="495"/>
      <c r="G13" s="495"/>
      <c r="H13" s="493"/>
    </row>
    <row r="14" spans="1:8" x14ac:dyDescent="0.3">
      <c r="A14" s="495" t="s">
        <v>108</v>
      </c>
      <c r="B14" s="499">
        <f>B8+B13</f>
        <v>21.646155</v>
      </c>
      <c r="C14" s="495"/>
      <c r="D14" s="495"/>
      <c r="E14" s="495"/>
      <c r="F14" s="495"/>
      <c r="G14" s="495"/>
      <c r="H14" s="493"/>
    </row>
    <row r="15" spans="1:8" x14ac:dyDescent="0.3">
      <c r="A15" s="495"/>
      <c r="B15" s="530"/>
      <c r="C15" s="495"/>
      <c r="D15" s="495"/>
      <c r="E15" s="495"/>
      <c r="F15" s="495"/>
      <c r="G15" s="495"/>
      <c r="H15" s="493"/>
    </row>
    <row r="16" spans="1:8" ht="21" thickBot="1" x14ac:dyDescent="0.4">
      <c r="A16" s="608" t="s">
        <v>148</v>
      </c>
      <c r="B16" s="609"/>
      <c r="C16" s="609"/>
      <c r="D16" s="609"/>
      <c r="E16" s="609"/>
      <c r="F16" s="609"/>
      <c r="G16" s="609"/>
      <c r="H16" s="493"/>
    </row>
    <row r="17" spans="1:9" x14ac:dyDescent="0.3">
      <c r="A17" s="500" t="s">
        <v>119</v>
      </c>
      <c r="B17" s="501"/>
      <c r="C17" s="501"/>
      <c r="D17" s="501"/>
      <c r="E17" s="501"/>
      <c r="F17" s="501"/>
      <c r="G17" s="502"/>
      <c r="H17" s="493"/>
    </row>
    <row r="18" spans="1:9" ht="27.6" x14ac:dyDescent="0.3">
      <c r="A18" s="503" t="s">
        <v>120</v>
      </c>
      <c r="B18" s="538" t="s">
        <v>121</v>
      </c>
      <c r="C18" s="538" t="s">
        <v>122</v>
      </c>
      <c r="D18" s="538" t="s">
        <v>123</v>
      </c>
      <c r="E18" s="539" t="s">
        <v>124</v>
      </c>
      <c r="F18" s="538" t="s">
        <v>125</v>
      </c>
      <c r="G18" s="540" t="s">
        <v>113</v>
      </c>
      <c r="H18" s="493"/>
      <c r="I18" s="541" t="s">
        <v>62</v>
      </c>
    </row>
    <row r="19" spans="1:9" x14ac:dyDescent="0.3">
      <c r="A19" s="507" t="s">
        <v>127</v>
      </c>
      <c r="B19" s="508">
        <v>2.5</v>
      </c>
      <c r="C19" s="509"/>
      <c r="D19" s="510">
        <f>B19*C19</f>
        <v>0</v>
      </c>
      <c r="E19" s="511"/>
      <c r="F19" s="512">
        <f>18.3*1.265-(18.3*0.265*0.31)</f>
        <v>21.646155</v>
      </c>
      <c r="G19" s="513">
        <f>D19*F19</f>
        <v>0</v>
      </c>
      <c r="H19" s="493"/>
      <c r="I19" s="542" t="s">
        <v>149</v>
      </c>
    </row>
    <row r="20" spans="1:9" x14ac:dyDescent="0.3">
      <c r="A20" s="514" t="s">
        <v>129</v>
      </c>
      <c r="B20" s="508">
        <v>5.5</v>
      </c>
      <c r="C20" s="509"/>
      <c r="D20" s="510">
        <f>B20*C20</f>
        <v>0</v>
      </c>
      <c r="E20" s="511">
        <v>0.3</v>
      </c>
      <c r="F20" s="512">
        <f>18.3*1.3*1.265-(18.3*1.3*0.265*0.31)</f>
        <v>28.1400015</v>
      </c>
      <c r="G20" s="513">
        <f>D20*F20</f>
        <v>0</v>
      </c>
      <c r="H20" s="493"/>
      <c r="I20" s="542" t="s">
        <v>149</v>
      </c>
    </row>
    <row r="21" spans="1:9" ht="15" thickBot="1" x14ac:dyDescent="0.35">
      <c r="A21" s="507" t="s">
        <v>130</v>
      </c>
      <c r="B21" s="508">
        <v>8</v>
      </c>
      <c r="C21" s="509"/>
      <c r="D21" s="508">
        <f>B21*C21</f>
        <v>0</v>
      </c>
      <c r="E21" s="511">
        <v>0.5</v>
      </c>
      <c r="F21" s="512">
        <f>18.3*1.5*1.265-(18.3*1.5*0.265*0.31)</f>
        <v>32.469232499999997</v>
      </c>
      <c r="G21" s="513">
        <f>D21*F21</f>
        <v>0</v>
      </c>
      <c r="H21" s="493"/>
      <c r="I21" s="542" t="s">
        <v>150</v>
      </c>
    </row>
    <row r="22" spans="1:9" ht="15.6" thickTop="1" thickBot="1" x14ac:dyDescent="0.35">
      <c r="A22" s="507"/>
      <c r="B22" s="508"/>
      <c r="C22" s="515"/>
      <c r="D22" s="570">
        <f>SUM(D19:D21)</f>
        <v>0</v>
      </c>
      <c r="E22" s="516"/>
      <c r="F22" s="515"/>
      <c r="G22" s="517">
        <f>SUM(G19:G21)</f>
        <v>0</v>
      </c>
      <c r="H22" s="493"/>
    </row>
    <row r="23" spans="1:9" x14ac:dyDescent="0.3">
      <c r="A23" s="507"/>
      <c r="B23" s="508"/>
      <c r="C23" s="508"/>
      <c r="D23" s="518"/>
      <c r="E23" s="508"/>
      <c r="F23" s="508"/>
      <c r="G23" s="519"/>
      <c r="H23" s="493"/>
    </row>
    <row r="24" spans="1:9" ht="15" thickBot="1" x14ac:dyDescent="0.35">
      <c r="A24" s="520"/>
      <c r="B24" s="521"/>
      <c r="C24" s="521"/>
      <c r="D24" s="521"/>
      <c r="E24" s="521"/>
      <c r="F24" s="522"/>
      <c r="G24" s="523"/>
      <c r="H24" s="493"/>
    </row>
    <row r="25" spans="1:9" ht="15" thickBot="1" x14ac:dyDescent="0.35">
      <c r="A25" s="495"/>
      <c r="B25" s="495"/>
      <c r="C25" s="495"/>
      <c r="D25" s="495"/>
      <c r="E25" s="495"/>
      <c r="F25" s="495"/>
      <c r="G25" s="495"/>
      <c r="H25" s="493"/>
    </row>
    <row r="26" spans="1:9" x14ac:dyDescent="0.3">
      <c r="A26" s="500" t="s">
        <v>111</v>
      </c>
      <c r="B26" s="501"/>
      <c r="C26" s="501"/>
      <c r="D26" s="501"/>
      <c r="E26" s="501"/>
      <c r="F26" s="501"/>
      <c r="G26" s="502"/>
      <c r="H26" s="493"/>
    </row>
    <row r="27" spans="1:9" ht="28.2" x14ac:dyDescent="0.3">
      <c r="A27" s="503" t="s">
        <v>120</v>
      </c>
      <c r="B27" s="504" t="s">
        <v>121</v>
      </c>
      <c r="C27" s="504" t="s">
        <v>132</v>
      </c>
      <c r="D27" s="518"/>
      <c r="E27" s="505" t="s">
        <v>124</v>
      </c>
      <c r="F27" s="504" t="s">
        <v>125</v>
      </c>
      <c r="G27" s="506" t="s">
        <v>113</v>
      </c>
      <c r="H27" s="493"/>
    </row>
    <row r="28" spans="1:9" x14ac:dyDescent="0.3">
      <c r="A28" s="514" t="s">
        <v>133</v>
      </c>
      <c r="B28" s="504"/>
      <c r="C28" s="606"/>
      <c r="D28" s="518"/>
      <c r="E28" s="505"/>
      <c r="F28" s="504"/>
      <c r="G28" s="506"/>
      <c r="H28" s="493"/>
    </row>
    <row r="29" spans="1:9" x14ac:dyDescent="0.3">
      <c r="A29" s="503"/>
      <c r="B29" s="607">
        <v>0</v>
      </c>
      <c r="C29" s="524">
        <v>46266</v>
      </c>
      <c r="D29" s="518"/>
      <c r="E29" s="505"/>
      <c r="F29" s="512">
        <f t="shared" ref="F29:F56" si="0">18.3*1.265-(18.3*0.265*0.31)</f>
        <v>21.646155</v>
      </c>
      <c r="G29" s="513">
        <f t="shared" ref="G29:G56" si="1">B29*F29</f>
        <v>0</v>
      </c>
      <c r="H29" s="493"/>
    </row>
    <row r="30" spans="1:9" x14ac:dyDescent="0.3">
      <c r="A30" s="503"/>
      <c r="B30" s="607">
        <v>0</v>
      </c>
      <c r="C30" s="524">
        <v>46267</v>
      </c>
      <c r="D30" s="518"/>
      <c r="E30" s="505"/>
      <c r="F30" s="512">
        <f t="shared" si="0"/>
        <v>21.646155</v>
      </c>
      <c r="G30" s="513">
        <f t="shared" si="1"/>
        <v>0</v>
      </c>
      <c r="H30" s="493"/>
    </row>
    <row r="31" spans="1:9" x14ac:dyDescent="0.3">
      <c r="A31" s="503"/>
      <c r="B31" s="607">
        <v>0</v>
      </c>
      <c r="C31" s="524">
        <v>46268</v>
      </c>
      <c r="D31" s="518"/>
      <c r="E31" s="505"/>
      <c r="F31" s="512">
        <f t="shared" si="0"/>
        <v>21.646155</v>
      </c>
      <c r="G31" s="513">
        <f t="shared" si="1"/>
        <v>0</v>
      </c>
      <c r="H31" s="493"/>
    </row>
    <row r="32" spans="1:9" x14ac:dyDescent="0.3">
      <c r="A32" s="503"/>
      <c r="B32" s="607">
        <v>0</v>
      </c>
      <c r="C32" s="524">
        <v>46269</v>
      </c>
      <c r="D32" s="518"/>
      <c r="E32" s="505"/>
      <c r="F32" s="512">
        <f t="shared" si="0"/>
        <v>21.646155</v>
      </c>
      <c r="G32" s="513">
        <f t="shared" si="1"/>
        <v>0</v>
      </c>
      <c r="H32" s="493"/>
    </row>
    <row r="33" spans="1:8" x14ac:dyDescent="0.3">
      <c r="A33" s="503"/>
      <c r="B33" s="607">
        <v>0</v>
      </c>
      <c r="C33" s="524">
        <v>46270</v>
      </c>
      <c r="D33" s="518"/>
      <c r="E33" s="505"/>
      <c r="F33" s="512">
        <f t="shared" si="0"/>
        <v>21.646155</v>
      </c>
      <c r="G33" s="513">
        <f t="shared" si="1"/>
        <v>0</v>
      </c>
      <c r="H33" s="493"/>
    </row>
    <row r="34" spans="1:8" x14ac:dyDescent="0.3">
      <c r="A34" s="503"/>
      <c r="B34" s="607">
        <v>0</v>
      </c>
      <c r="C34" s="524">
        <v>46271</v>
      </c>
      <c r="D34" s="518"/>
      <c r="E34" s="505"/>
      <c r="F34" s="512">
        <f t="shared" si="0"/>
        <v>21.646155</v>
      </c>
      <c r="G34" s="513">
        <f t="shared" si="1"/>
        <v>0</v>
      </c>
      <c r="H34" s="493"/>
    </row>
    <row r="35" spans="1:8" x14ac:dyDescent="0.3">
      <c r="A35" s="503"/>
      <c r="B35" s="607">
        <v>0</v>
      </c>
      <c r="C35" s="524">
        <v>46272</v>
      </c>
      <c r="D35" s="518"/>
      <c r="E35" s="505"/>
      <c r="F35" s="512">
        <f t="shared" si="0"/>
        <v>21.646155</v>
      </c>
      <c r="G35" s="513">
        <f t="shared" si="1"/>
        <v>0</v>
      </c>
      <c r="H35" s="493"/>
    </row>
    <row r="36" spans="1:8" x14ac:dyDescent="0.3">
      <c r="A36" s="503"/>
      <c r="B36" s="607">
        <v>0</v>
      </c>
      <c r="C36" s="524">
        <v>46273</v>
      </c>
      <c r="D36" s="518"/>
      <c r="E36" s="505"/>
      <c r="F36" s="512">
        <f t="shared" si="0"/>
        <v>21.646155</v>
      </c>
      <c r="G36" s="513">
        <f t="shared" si="1"/>
        <v>0</v>
      </c>
      <c r="H36" s="493"/>
    </row>
    <row r="37" spans="1:8" x14ac:dyDescent="0.3">
      <c r="A37" s="503"/>
      <c r="B37" s="607">
        <v>0</v>
      </c>
      <c r="C37" s="524">
        <v>46274</v>
      </c>
      <c r="D37" s="518"/>
      <c r="E37" s="505"/>
      <c r="F37" s="512">
        <f t="shared" si="0"/>
        <v>21.646155</v>
      </c>
      <c r="G37" s="513">
        <f t="shared" si="1"/>
        <v>0</v>
      </c>
      <c r="H37" s="493"/>
    </row>
    <row r="38" spans="1:8" x14ac:dyDescent="0.3">
      <c r="A38" s="503"/>
      <c r="B38" s="607">
        <v>0</v>
      </c>
      <c r="C38" s="524">
        <v>46275</v>
      </c>
      <c r="D38" s="518"/>
      <c r="E38" s="505"/>
      <c r="F38" s="512">
        <f t="shared" si="0"/>
        <v>21.646155</v>
      </c>
      <c r="G38" s="513">
        <f t="shared" si="1"/>
        <v>0</v>
      </c>
      <c r="H38" s="493"/>
    </row>
    <row r="39" spans="1:8" x14ac:dyDescent="0.3">
      <c r="A39" s="503"/>
      <c r="B39" s="607">
        <v>0</v>
      </c>
      <c r="C39" s="524">
        <v>46276</v>
      </c>
      <c r="D39" s="518"/>
      <c r="E39" s="505"/>
      <c r="F39" s="512">
        <f t="shared" si="0"/>
        <v>21.646155</v>
      </c>
      <c r="G39" s="513">
        <f t="shared" si="1"/>
        <v>0</v>
      </c>
      <c r="H39" s="493"/>
    </row>
    <row r="40" spans="1:8" x14ac:dyDescent="0.3">
      <c r="A40" s="503"/>
      <c r="B40" s="607">
        <v>0</v>
      </c>
      <c r="C40" s="524">
        <v>46277</v>
      </c>
      <c r="D40" s="518"/>
      <c r="E40" s="505"/>
      <c r="F40" s="512">
        <f t="shared" si="0"/>
        <v>21.646155</v>
      </c>
      <c r="G40" s="513">
        <f t="shared" si="1"/>
        <v>0</v>
      </c>
      <c r="H40" s="493"/>
    </row>
    <row r="41" spans="1:8" x14ac:dyDescent="0.3">
      <c r="A41" s="503"/>
      <c r="B41" s="607">
        <v>0</v>
      </c>
      <c r="C41" s="524">
        <v>46278</v>
      </c>
      <c r="D41" s="518"/>
      <c r="E41" s="505"/>
      <c r="F41" s="512">
        <f t="shared" si="0"/>
        <v>21.646155</v>
      </c>
      <c r="G41" s="513">
        <f t="shared" si="1"/>
        <v>0</v>
      </c>
      <c r="H41" s="493"/>
    </row>
    <row r="42" spans="1:8" x14ac:dyDescent="0.3">
      <c r="A42" s="503"/>
      <c r="B42" s="607">
        <v>0</v>
      </c>
      <c r="C42" s="524">
        <v>46279</v>
      </c>
      <c r="D42" s="518"/>
      <c r="E42" s="505"/>
      <c r="F42" s="512">
        <f t="shared" si="0"/>
        <v>21.646155</v>
      </c>
      <c r="G42" s="513">
        <f t="shared" si="1"/>
        <v>0</v>
      </c>
      <c r="H42" s="493"/>
    </row>
    <row r="43" spans="1:8" x14ac:dyDescent="0.3">
      <c r="A43" s="503"/>
      <c r="B43" s="607">
        <v>0</v>
      </c>
      <c r="C43" s="524">
        <v>46280</v>
      </c>
      <c r="D43" s="518"/>
      <c r="E43" s="505"/>
      <c r="F43" s="512">
        <f t="shared" si="0"/>
        <v>21.646155</v>
      </c>
      <c r="G43" s="513">
        <f t="shared" si="1"/>
        <v>0</v>
      </c>
      <c r="H43" s="493"/>
    </row>
    <row r="44" spans="1:8" x14ac:dyDescent="0.3">
      <c r="A44" s="503"/>
      <c r="B44" s="607">
        <v>0</v>
      </c>
      <c r="C44" s="524">
        <v>46281</v>
      </c>
      <c r="D44" s="518"/>
      <c r="E44" s="505"/>
      <c r="F44" s="512">
        <f t="shared" si="0"/>
        <v>21.646155</v>
      </c>
      <c r="G44" s="513">
        <f t="shared" si="1"/>
        <v>0</v>
      </c>
      <c r="H44" s="493"/>
    </row>
    <row r="45" spans="1:8" x14ac:dyDescent="0.3">
      <c r="A45" s="503"/>
      <c r="B45" s="607">
        <v>0</v>
      </c>
      <c r="C45" s="524">
        <v>46282</v>
      </c>
      <c r="D45" s="518"/>
      <c r="E45" s="505"/>
      <c r="F45" s="512">
        <f t="shared" si="0"/>
        <v>21.646155</v>
      </c>
      <c r="G45" s="513">
        <f t="shared" si="1"/>
        <v>0</v>
      </c>
      <c r="H45" s="493"/>
    </row>
    <row r="46" spans="1:8" x14ac:dyDescent="0.3">
      <c r="A46" s="503"/>
      <c r="B46" s="607">
        <v>0</v>
      </c>
      <c r="C46" s="524">
        <v>46283</v>
      </c>
      <c r="D46" s="518"/>
      <c r="E46" s="505"/>
      <c r="F46" s="512">
        <f t="shared" si="0"/>
        <v>21.646155</v>
      </c>
      <c r="G46" s="513">
        <f t="shared" si="1"/>
        <v>0</v>
      </c>
      <c r="H46" s="493"/>
    </row>
    <row r="47" spans="1:8" x14ac:dyDescent="0.3">
      <c r="A47" s="503"/>
      <c r="B47" s="607">
        <v>0</v>
      </c>
      <c r="C47" s="524">
        <v>46284</v>
      </c>
      <c r="D47" s="518"/>
      <c r="E47" s="505"/>
      <c r="F47" s="512">
        <f t="shared" si="0"/>
        <v>21.646155</v>
      </c>
      <c r="G47" s="513">
        <f t="shared" si="1"/>
        <v>0</v>
      </c>
      <c r="H47" s="493"/>
    </row>
    <row r="48" spans="1:8" x14ac:dyDescent="0.3">
      <c r="A48" s="503"/>
      <c r="B48" s="607">
        <v>0</v>
      </c>
      <c r="C48" s="524">
        <v>46285</v>
      </c>
      <c r="D48" s="518"/>
      <c r="E48" s="505"/>
      <c r="F48" s="512">
        <f t="shared" si="0"/>
        <v>21.646155</v>
      </c>
      <c r="G48" s="513">
        <f t="shared" si="1"/>
        <v>0</v>
      </c>
      <c r="H48" s="493"/>
    </row>
    <row r="49" spans="1:8" x14ac:dyDescent="0.3">
      <c r="A49" s="503"/>
      <c r="B49" s="607">
        <v>0</v>
      </c>
      <c r="C49" s="524">
        <v>46286</v>
      </c>
      <c r="D49" s="518"/>
      <c r="E49" s="505"/>
      <c r="F49" s="512">
        <f t="shared" si="0"/>
        <v>21.646155</v>
      </c>
      <c r="G49" s="513">
        <f t="shared" si="1"/>
        <v>0</v>
      </c>
      <c r="H49" s="493"/>
    </row>
    <row r="50" spans="1:8" x14ac:dyDescent="0.3">
      <c r="A50" s="503"/>
      <c r="B50" s="607">
        <v>0</v>
      </c>
      <c r="C50" s="524">
        <v>46287</v>
      </c>
      <c r="D50" s="518"/>
      <c r="E50" s="505"/>
      <c r="F50" s="512">
        <f t="shared" si="0"/>
        <v>21.646155</v>
      </c>
      <c r="G50" s="513">
        <f t="shared" si="1"/>
        <v>0</v>
      </c>
      <c r="H50" s="493"/>
    </row>
    <row r="51" spans="1:8" x14ac:dyDescent="0.3">
      <c r="A51" s="503"/>
      <c r="B51" s="607">
        <v>0</v>
      </c>
      <c r="C51" s="524">
        <v>46288</v>
      </c>
      <c r="D51" s="518"/>
      <c r="E51" s="505"/>
      <c r="F51" s="512">
        <f t="shared" si="0"/>
        <v>21.646155</v>
      </c>
      <c r="G51" s="513">
        <f t="shared" si="1"/>
        <v>0</v>
      </c>
      <c r="H51" s="493"/>
    </row>
    <row r="52" spans="1:8" x14ac:dyDescent="0.3">
      <c r="A52" s="503"/>
      <c r="B52" s="607">
        <v>0</v>
      </c>
      <c r="C52" s="524">
        <v>46289</v>
      </c>
      <c r="D52" s="518"/>
      <c r="E52" s="505"/>
      <c r="F52" s="512">
        <f t="shared" si="0"/>
        <v>21.646155</v>
      </c>
      <c r="G52" s="513">
        <f t="shared" si="1"/>
        <v>0</v>
      </c>
      <c r="H52" s="493"/>
    </row>
    <row r="53" spans="1:8" x14ac:dyDescent="0.3">
      <c r="A53" s="503"/>
      <c r="B53" s="607">
        <v>0</v>
      </c>
      <c r="C53" s="524">
        <v>46290</v>
      </c>
      <c r="D53" s="518"/>
      <c r="E53" s="505"/>
      <c r="F53" s="512">
        <f t="shared" si="0"/>
        <v>21.646155</v>
      </c>
      <c r="G53" s="513">
        <f t="shared" si="1"/>
        <v>0</v>
      </c>
      <c r="H53" s="493"/>
    </row>
    <row r="54" spans="1:8" x14ac:dyDescent="0.3">
      <c r="A54" s="503"/>
      <c r="B54" s="607">
        <v>0</v>
      </c>
      <c r="C54" s="524">
        <v>46291</v>
      </c>
      <c r="D54" s="518"/>
      <c r="E54" s="505"/>
      <c r="F54" s="512">
        <f t="shared" si="0"/>
        <v>21.646155</v>
      </c>
      <c r="G54" s="513">
        <f t="shared" si="1"/>
        <v>0</v>
      </c>
      <c r="H54" s="493"/>
    </row>
    <row r="55" spans="1:8" x14ac:dyDescent="0.3">
      <c r="A55" s="503"/>
      <c r="B55" s="607">
        <v>0</v>
      </c>
      <c r="C55" s="524">
        <v>46292</v>
      </c>
      <c r="D55" s="518"/>
      <c r="E55" s="505"/>
      <c r="F55" s="512">
        <f t="shared" si="0"/>
        <v>21.646155</v>
      </c>
      <c r="G55" s="513">
        <f t="shared" si="1"/>
        <v>0</v>
      </c>
      <c r="H55" s="493"/>
    </row>
    <row r="56" spans="1:8" x14ac:dyDescent="0.3">
      <c r="A56" s="503"/>
      <c r="B56" s="607">
        <v>0</v>
      </c>
      <c r="C56" s="524">
        <v>46293</v>
      </c>
      <c r="D56" s="518"/>
      <c r="E56" s="505"/>
      <c r="F56" s="512">
        <f t="shared" si="0"/>
        <v>21.646155</v>
      </c>
      <c r="G56" s="513">
        <f t="shared" si="1"/>
        <v>0</v>
      </c>
      <c r="H56" s="493"/>
    </row>
    <row r="57" spans="1:8" x14ac:dyDescent="0.3">
      <c r="A57" s="514"/>
      <c r="B57" s="607">
        <v>0</v>
      </c>
      <c r="C57" s="524">
        <v>46294</v>
      </c>
      <c r="D57" s="518"/>
      <c r="E57" s="511"/>
      <c r="F57" s="512">
        <f t="shared" ref="F57:F58" si="2">18.3*1.265-(18.3*0.265*0.31)</f>
        <v>21.646155</v>
      </c>
      <c r="G57" s="513">
        <f t="shared" ref="G57:G58" si="3">B57*F57</f>
        <v>0</v>
      </c>
      <c r="H57" s="493"/>
    </row>
    <row r="58" spans="1:8" ht="15" thickBot="1" x14ac:dyDescent="0.35">
      <c r="A58" s="525"/>
      <c r="B58" s="607">
        <v>0</v>
      </c>
      <c r="C58" s="524">
        <v>46295</v>
      </c>
      <c r="D58" s="604"/>
      <c r="E58" s="605"/>
      <c r="F58" s="512">
        <f t="shared" si="2"/>
        <v>21.646155</v>
      </c>
      <c r="G58" s="513">
        <f t="shared" si="3"/>
        <v>0</v>
      </c>
      <c r="H58" s="493"/>
    </row>
    <row r="59" spans="1:8" ht="15.6" thickTop="1" thickBot="1" x14ac:dyDescent="0.35">
      <c r="A59" s="520"/>
      <c r="B59" s="521"/>
      <c r="C59" s="521"/>
      <c r="D59" s="521"/>
      <c r="E59" s="521" t="s">
        <v>135</v>
      </c>
      <c r="F59" s="522"/>
      <c r="G59" s="526">
        <f>SUM(G29:G57)</f>
        <v>0</v>
      </c>
      <c r="H59" s="493"/>
    </row>
    <row r="60" spans="1:8" x14ac:dyDescent="0.3">
      <c r="A60" s="495"/>
      <c r="B60" s="495"/>
      <c r="C60" s="495"/>
      <c r="D60" s="495"/>
      <c r="E60" s="495"/>
      <c r="F60" s="495"/>
      <c r="G60" s="495"/>
      <c r="H60" s="493"/>
    </row>
    <row r="61" spans="1:8" ht="15" thickBot="1" x14ac:dyDescent="0.35">
      <c r="A61" s="495"/>
      <c r="B61" s="495"/>
      <c r="C61" s="495"/>
      <c r="D61" s="495"/>
      <c r="E61" s="495"/>
      <c r="F61" s="495"/>
      <c r="G61" s="495"/>
      <c r="H61" s="493"/>
    </row>
    <row r="62" spans="1:8" ht="21.6" thickTop="1" thickBot="1" x14ac:dyDescent="0.4">
      <c r="A62" s="495"/>
      <c r="B62" s="495"/>
      <c r="C62" s="495"/>
      <c r="D62" s="495"/>
      <c r="E62" s="495"/>
      <c r="F62" s="527" t="s">
        <v>115</v>
      </c>
      <c r="G62" s="528">
        <f>G22+G59</f>
        <v>0</v>
      </c>
      <c r="H62" s="529" t="s">
        <v>116</v>
      </c>
    </row>
    <row r="63" spans="1:8" ht="15" thickTop="1" x14ac:dyDescent="0.3"/>
  </sheetData>
  <mergeCells count="1">
    <mergeCell ref="A16:G16"/>
  </mergeCells>
  <phoneticPr fontId="44" type="noConversion"/>
  <pageMargins left="0.7" right="0.7" top="0.75" bottom="0.75" header="0.3" footer="0.3"/>
  <pageSetup paperSize="8" scale="68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AF54"/>
  <sheetViews>
    <sheetView zoomScale="40" zoomScaleNormal="40" zoomScaleSheetLayoutView="30" workbookViewId="0">
      <pane ySplit="8" topLeftCell="A15" activePane="bottomLeft" state="frozen"/>
      <selection activeCell="B1" sqref="B1"/>
      <selection pane="bottomLeft" activeCell="A40" sqref="A40:B41"/>
    </sheetView>
  </sheetViews>
  <sheetFormatPr defaultColWidth="14.44140625" defaultRowHeight="14.4" x14ac:dyDescent="0.3"/>
  <cols>
    <col min="1" max="2" width="21.6640625" customWidth="1"/>
    <col min="3" max="3" width="30.6640625" customWidth="1"/>
    <col min="4" max="5" width="14.44140625" customWidth="1"/>
    <col min="6" max="6" width="30.6640625" customWidth="1"/>
    <col min="7" max="8" width="14.44140625" customWidth="1"/>
    <col min="9" max="9" width="32.6640625" customWidth="1"/>
    <col min="10" max="10" width="14.44140625" customWidth="1"/>
    <col min="11" max="11" width="15.5546875" customWidth="1"/>
    <col min="12" max="12" width="31.44140625" customWidth="1"/>
    <col min="13" max="13" width="14.44140625" customWidth="1"/>
    <col min="14" max="14" width="14.6640625" customWidth="1"/>
    <col min="15" max="15" width="29.33203125" customWidth="1"/>
    <col min="16" max="16" width="14.44140625" customWidth="1"/>
    <col min="17" max="17" width="15.5546875" customWidth="1"/>
    <col min="18" max="18" width="34.44140625" customWidth="1"/>
    <col min="19" max="19" width="14.44140625" customWidth="1"/>
    <col min="20" max="20" width="15.5546875" customWidth="1"/>
    <col min="21" max="22" width="9.109375" customWidth="1"/>
    <col min="23" max="24" width="33.88671875" customWidth="1"/>
    <col min="25" max="25" width="67.44140625" customWidth="1"/>
    <col min="26" max="32" width="9.109375" customWidth="1"/>
  </cols>
  <sheetData>
    <row r="2" spans="1:32" ht="24" x14ac:dyDescent="0.45">
      <c r="A2" s="79"/>
      <c r="B2" s="79"/>
      <c r="C2" s="78"/>
      <c r="D2" s="78"/>
      <c r="E2" s="79" t="s">
        <v>136</v>
      </c>
      <c r="F2" s="78"/>
      <c r="G2" s="78"/>
      <c r="H2" s="79"/>
      <c r="I2" s="79"/>
      <c r="J2" s="79"/>
      <c r="K2" s="78"/>
      <c r="L2" s="78"/>
      <c r="M2" s="78"/>
      <c r="N2" s="78"/>
      <c r="O2" s="79"/>
      <c r="P2" s="79"/>
      <c r="Q2" s="78"/>
      <c r="R2" s="79"/>
      <c r="S2" s="79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</row>
    <row r="3" spans="1:32" ht="24" x14ac:dyDescent="0.45">
      <c r="A3" s="79"/>
      <c r="B3" s="79"/>
      <c r="C3" s="78"/>
      <c r="D3" s="78"/>
      <c r="E3" s="79" t="s">
        <v>1</v>
      </c>
      <c r="F3" s="78"/>
      <c r="G3" s="78"/>
      <c r="H3" s="79"/>
      <c r="I3" s="79"/>
      <c r="J3" s="79"/>
      <c r="K3" s="78"/>
      <c r="L3" s="78"/>
      <c r="M3" s="78"/>
      <c r="N3" s="78"/>
      <c r="O3" s="79"/>
      <c r="P3" s="79"/>
      <c r="Q3" s="78"/>
      <c r="R3" s="79"/>
      <c r="S3" s="79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2" ht="15" thickBot="1" x14ac:dyDescent="0.35"/>
    <row r="5" spans="1:32" ht="54.6" thickTop="1" thickBot="1" x14ac:dyDescent="0.35">
      <c r="A5" s="653" t="s">
        <v>2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 s="654"/>
      <c r="N5" s="654"/>
      <c r="O5" s="654"/>
      <c r="P5" s="654"/>
      <c r="Q5" s="654"/>
      <c r="R5" s="654"/>
      <c r="S5" s="654"/>
      <c r="T5" s="655"/>
    </row>
    <row r="6" spans="1:32" ht="27" thickTop="1" thickBot="1" x14ac:dyDescent="0.35">
      <c r="A6" s="656" t="s">
        <v>57</v>
      </c>
      <c r="B6" s="657"/>
      <c r="C6" s="660"/>
      <c r="D6" s="660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2"/>
    </row>
    <row r="7" spans="1:32" ht="29.4" customHeight="1" thickTop="1" x14ac:dyDescent="0.3">
      <c r="A7" s="658"/>
      <c r="B7" s="658"/>
      <c r="C7" s="683" t="s">
        <v>137</v>
      </c>
      <c r="D7" s="669" t="s">
        <v>85</v>
      </c>
      <c r="E7" s="649" t="s">
        <v>138</v>
      </c>
      <c r="F7" s="685" t="s">
        <v>139</v>
      </c>
      <c r="G7" s="669" t="s">
        <v>85</v>
      </c>
      <c r="H7" s="649" t="s">
        <v>138</v>
      </c>
      <c r="I7" s="686" t="s">
        <v>140</v>
      </c>
      <c r="J7" s="669" t="s">
        <v>85</v>
      </c>
      <c r="K7" s="649" t="s">
        <v>138</v>
      </c>
      <c r="L7" s="687" t="s">
        <v>141</v>
      </c>
      <c r="M7" s="669" t="s">
        <v>85</v>
      </c>
      <c r="N7" s="649" t="s">
        <v>138</v>
      </c>
      <c r="O7" s="689" t="s">
        <v>142</v>
      </c>
      <c r="P7" s="669" t="s">
        <v>85</v>
      </c>
      <c r="Q7" s="649" t="s">
        <v>138</v>
      </c>
      <c r="R7" s="666" t="s">
        <v>143</v>
      </c>
      <c r="S7" s="669" t="s">
        <v>85</v>
      </c>
      <c r="T7" s="649" t="s">
        <v>138</v>
      </c>
      <c r="W7" s="355"/>
    </row>
    <row r="8" spans="1:32" ht="24" customHeight="1" thickBot="1" x14ac:dyDescent="0.5">
      <c r="A8" s="659"/>
      <c r="B8" s="659"/>
      <c r="C8" s="684"/>
      <c r="D8" s="677"/>
      <c r="E8" s="650"/>
      <c r="F8" s="684"/>
      <c r="G8" s="677"/>
      <c r="H8" s="650"/>
      <c r="I8" s="684"/>
      <c r="J8" s="677"/>
      <c r="K8" s="650"/>
      <c r="L8" s="688"/>
      <c r="M8" s="677"/>
      <c r="N8" s="650"/>
      <c r="O8" s="684"/>
      <c r="P8" s="677"/>
      <c r="Q8" s="650"/>
      <c r="R8" s="691"/>
      <c r="S8" s="677"/>
      <c r="T8" s="650"/>
      <c r="Z8" s="78"/>
      <c r="AA8" s="78"/>
      <c r="AB8" s="78"/>
    </row>
    <row r="9" spans="1:32" ht="15" thickTop="1" x14ac:dyDescent="0.3"/>
    <row r="10" spans="1:32" ht="26.4" thickBot="1" x14ac:dyDescent="0.55000000000000004">
      <c r="V10" s="11"/>
      <c r="W10" s="11"/>
      <c r="X10" s="11"/>
      <c r="Y10" s="11"/>
      <c r="Z10" s="11"/>
      <c r="AA10" s="11"/>
      <c r="AB10" s="11"/>
    </row>
    <row r="11" spans="1:32" ht="27.6" thickTop="1" thickBot="1" x14ac:dyDescent="0.55000000000000004">
      <c r="A11" s="454">
        <v>1</v>
      </c>
      <c r="B11" s="403" t="s">
        <v>22</v>
      </c>
      <c r="C11" s="455" t="s">
        <v>12</v>
      </c>
      <c r="D11" s="576"/>
      <c r="E11" s="576"/>
      <c r="F11" s="455" t="s">
        <v>12</v>
      </c>
      <c r="G11" s="576"/>
      <c r="H11" s="576"/>
      <c r="I11" s="435" t="s">
        <v>90</v>
      </c>
      <c r="J11" s="436"/>
      <c r="K11" s="437">
        <v>8</v>
      </c>
      <c r="L11" s="455" t="s">
        <v>12</v>
      </c>
      <c r="M11" s="576"/>
      <c r="N11" s="576"/>
      <c r="O11" s="438" t="s">
        <v>92</v>
      </c>
      <c r="P11" s="436"/>
      <c r="Q11" s="456">
        <v>8</v>
      </c>
      <c r="R11" s="440" t="s">
        <v>91</v>
      </c>
      <c r="S11" s="561" t="s">
        <v>86</v>
      </c>
      <c r="T11" s="441">
        <v>8</v>
      </c>
      <c r="V11" s="11"/>
      <c r="W11" s="11"/>
      <c r="X11" s="11"/>
      <c r="Y11" s="11"/>
      <c r="Z11" s="11"/>
      <c r="AA11" s="11"/>
      <c r="AB11" s="11"/>
    </row>
    <row r="12" spans="1:32" ht="27.6" thickTop="1" thickBot="1" x14ac:dyDescent="0.55000000000000004">
      <c r="A12" s="453">
        <v>2</v>
      </c>
      <c r="B12" s="367" t="s">
        <v>25</v>
      </c>
      <c r="C12" s="377" t="s">
        <v>91</v>
      </c>
      <c r="D12" s="550" t="s">
        <v>86</v>
      </c>
      <c r="E12" s="397">
        <v>8</v>
      </c>
      <c r="F12" s="490" t="s">
        <v>93</v>
      </c>
      <c r="G12" s="550"/>
      <c r="H12" s="397">
        <v>8</v>
      </c>
      <c r="I12" s="577" t="s">
        <v>90</v>
      </c>
      <c r="J12" s="550"/>
      <c r="K12" s="550">
        <v>8</v>
      </c>
      <c r="L12" s="390" t="s">
        <v>93</v>
      </c>
      <c r="M12" s="550"/>
      <c r="N12" s="397">
        <v>8</v>
      </c>
      <c r="O12" s="249" t="s">
        <v>12</v>
      </c>
      <c r="P12" s="289"/>
      <c r="Q12" s="370"/>
      <c r="R12" s="380" t="s">
        <v>92</v>
      </c>
      <c r="S12" s="550"/>
      <c r="T12" s="397">
        <v>8</v>
      </c>
      <c r="V12" s="11"/>
      <c r="W12" s="11"/>
      <c r="X12" s="11"/>
      <c r="Y12" s="11"/>
      <c r="Z12" s="11"/>
      <c r="AA12" s="11"/>
      <c r="AB12" s="11"/>
    </row>
    <row r="13" spans="1:32" ht="27.6" thickTop="1" thickBot="1" x14ac:dyDescent="0.55000000000000004">
      <c r="A13" s="449">
        <v>3</v>
      </c>
      <c r="B13" s="363" t="s">
        <v>28</v>
      </c>
      <c r="C13" s="378" t="s">
        <v>91</v>
      </c>
      <c r="D13" s="551" t="s">
        <v>86</v>
      </c>
      <c r="E13" s="397">
        <v>8</v>
      </c>
      <c r="F13" s="490" t="s">
        <v>93</v>
      </c>
      <c r="G13" s="551"/>
      <c r="H13" s="397">
        <v>8</v>
      </c>
      <c r="I13" s="571" t="s">
        <v>90</v>
      </c>
      <c r="J13" s="551"/>
      <c r="K13" s="551">
        <v>8</v>
      </c>
      <c r="L13" s="390" t="s">
        <v>93</v>
      </c>
      <c r="M13" s="551"/>
      <c r="N13" s="397">
        <v>8</v>
      </c>
      <c r="O13" s="249" t="s">
        <v>12</v>
      </c>
      <c r="P13" s="286"/>
      <c r="Q13" s="370"/>
      <c r="R13" s="381" t="s">
        <v>92</v>
      </c>
      <c r="S13" s="551"/>
      <c r="T13" s="398">
        <v>8</v>
      </c>
      <c r="V13" s="11"/>
      <c r="W13" s="11"/>
      <c r="X13" s="11"/>
      <c r="Y13" s="11"/>
      <c r="Z13" s="11"/>
      <c r="AA13" s="11"/>
      <c r="AB13" s="11"/>
    </row>
    <row r="14" spans="1:32" ht="27.6" thickTop="1" thickBot="1" x14ac:dyDescent="0.55000000000000004">
      <c r="A14" s="451">
        <v>4</v>
      </c>
      <c r="B14" s="363" t="s">
        <v>31</v>
      </c>
      <c r="C14" s="378" t="s">
        <v>91</v>
      </c>
      <c r="D14" s="551" t="s">
        <v>86</v>
      </c>
      <c r="E14" s="397">
        <v>8</v>
      </c>
      <c r="F14" s="490" t="s">
        <v>93</v>
      </c>
      <c r="G14" s="551"/>
      <c r="H14" s="397">
        <v>8</v>
      </c>
      <c r="I14" s="249" t="s">
        <v>12</v>
      </c>
      <c r="J14" s="551"/>
      <c r="K14" s="551"/>
      <c r="L14" s="390" t="s">
        <v>93</v>
      </c>
      <c r="M14" s="551"/>
      <c r="N14" s="397">
        <v>8</v>
      </c>
      <c r="O14" s="375" t="s">
        <v>90</v>
      </c>
      <c r="P14" s="551"/>
      <c r="Q14" s="397">
        <v>8</v>
      </c>
      <c r="R14" s="380" t="s">
        <v>92</v>
      </c>
      <c r="S14" s="551"/>
      <c r="T14" s="397">
        <v>8</v>
      </c>
      <c r="V14" s="11"/>
      <c r="W14" s="11"/>
      <c r="X14" s="11"/>
      <c r="Y14" s="11"/>
      <c r="Z14" s="11"/>
      <c r="AA14" s="11"/>
      <c r="AB14" s="11"/>
    </row>
    <row r="15" spans="1:32" ht="27.6" thickTop="1" thickBot="1" x14ac:dyDescent="0.55000000000000004">
      <c r="A15" s="449">
        <v>5</v>
      </c>
      <c r="B15" s="363" t="s">
        <v>35</v>
      </c>
      <c r="C15" s="377" t="s">
        <v>91</v>
      </c>
      <c r="D15" s="551" t="s">
        <v>86</v>
      </c>
      <c r="E15" s="397">
        <v>8</v>
      </c>
      <c r="F15" s="490" t="s">
        <v>93</v>
      </c>
      <c r="G15" s="551"/>
      <c r="H15" s="397">
        <v>8</v>
      </c>
      <c r="I15" s="249" t="s">
        <v>12</v>
      </c>
      <c r="J15" s="551"/>
      <c r="K15" s="551"/>
      <c r="L15" s="390" t="s">
        <v>93</v>
      </c>
      <c r="M15" s="551"/>
      <c r="N15" s="397">
        <v>8</v>
      </c>
      <c r="O15" s="375" t="s">
        <v>90</v>
      </c>
      <c r="P15" s="292"/>
      <c r="Q15" s="397">
        <v>8</v>
      </c>
      <c r="R15" s="381" t="s">
        <v>92</v>
      </c>
      <c r="S15" s="558"/>
      <c r="T15" s="398">
        <v>8</v>
      </c>
      <c r="V15" s="11"/>
      <c r="W15" s="11"/>
      <c r="X15" s="11"/>
      <c r="Y15" s="11"/>
      <c r="Z15" s="11"/>
      <c r="AA15" s="11"/>
      <c r="AB15" s="11"/>
    </row>
    <row r="16" spans="1:32" ht="27.6" thickTop="1" thickBot="1" x14ac:dyDescent="0.55000000000000004">
      <c r="A16" s="457">
        <v>6</v>
      </c>
      <c r="B16" s="366" t="s">
        <v>11</v>
      </c>
      <c r="C16" s="243" t="s">
        <v>12</v>
      </c>
      <c r="D16" s="552" t="s">
        <v>86</v>
      </c>
      <c r="E16" s="399">
        <v>8</v>
      </c>
      <c r="F16" s="388" t="s">
        <v>91</v>
      </c>
      <c r="G16" s="552"/>
      <c r="H16" s="399">
        <v>8</v>
      </c>
      <c r="I16" s="384" t="s">
        <v>92</v>
      </c>
      <c r="J16" s="572"/>
      <c r="K16" s="399">
        <v>8</v>
      </c>
      <c r="L16" s="391" t="s">
        <v>93</v>
      </c>
      <c r="M16" s="552"/>
      <c r="N16" s="399">
        <v>8</v>
      </c>
      <c r="O16" s="382" t="s">
        <v>90</v>
      </c>
      <c r="P16" s="298"/>
      <c r="Q16" s="399">
        <v>8</v>
      </c>
      <c r="R16" s="246" t="s">
        <v>12</v>
      </c>
      <c r="S16" s="552"/>
      <c r="T16" s="238"/>
      <c r="V16" s="11"/>
      <c r="W16" s="11"/>
      <c r="X16" s="11"/>
      <c r="Y16" s="11"/>
      <c r="Z16" s="11"/>
      <c r="AA16" s="11"/>
      <c r="AB16" s="11"/>
    </row>
    <row r="17" spans="1:28" ht="27.6" thickTop="1" thickBot="1" x14ac:dyDescent="0.55000000000000004">
      <c r="A17" s="458">
        <v>7</v>
      </c>
      <c r="B17" s="402" t="s">
        <v>19</v>
      </c>
      <c r="C17" s="421" t="s">
        <v>12</v>
      </c>
      <c r="D17" s="560" t="s">
        <v>86</v>
      </c>
      <c r="E17" s="459"/>
      <c r="F17" s="423" t="s">
        <v>91</v>
      </c>
      <c r="G17" s="574"/>
      <c r="H17" s="459">
        <v>8</v>
      </c>
      <c r="I17" s="425" t="s">
        <v>92</v>
      </c>
      <c r="J17" s="426"/>
      <c r="K17" s="427">
        <v>8</v>
      </c>
      <c r="L17" s="421" t="s">
        <v>12</v>
      </c>
      <c r="M17" s="574"/>
      <c r="N17" s="422"/>
      <c r="O17" s="460" t="s">
        <v>90</v>
      </c>
      <c r="P17" s="461"/>
      <c r="Q17" s="459">
        <v>8</v>
      </c>
      <c r="R17" s="421" t="s">
        <v>12</v>
      </c>
      <c r="S17" s="574"/>
      <c r="T17" s="462"/>
      <c r="V17" s="11"/>
      <c r="W17" s="11"/>
      <c r="X17" s="11"/>
      <c r="Y17" s="11"/>
      <c r="Z17" s="11"/>
      <c r="AA17" s="11"/>
      <c r="AB17" s="11"/>
    </row>
    <row r="18" spans="1:28" ht="27.6" thickTop="1" thickBot="1" x14ac:dyDescent="0.55000000000000004">
      <c r="A18" s="454">
        <v>8</v>
      </c>
      <c r="B18" s="403" t="s">
        <v>22</v>
      </c>
      <c r="C18" s="440" t="s">
        <v>91</v>
      </c>
      <c r="D18" s="561" t="s">
        <v>86</v>
      </c>
      <c r="E18" s="439">
        <v>8</v>
      </c>
      <c r="F18" s="431" t="s">
        <v>12</v>
      </c>
      <c r="G18" s="576"/>
      <c r="H18" s="432"/>
      <c r="I18" s="438" t="s">
        <v>92</v>
      </c>
      <c r="J18" s="436"/>
      <c r="K18" s="439">
        <v>8</v>
      </c>
      <c r="L18" s="431" t="s">
        <v>12</v>
      </c>
      <c r="M18" s="576"/>
      <c r="N18" s="432"/>
      <c r="O18" s="455" t="s">
        <v>12</v>
      </c>
      <c r="P18" s="576"/>
      <c r="Q18" s="576"/>
      <c r="R18" s="435" t="s">
        <v>90</v>
      </c>
      <c r="S18" s="436"/>
      <c r="T18" s="463">
        <v>8</v>
      </c>
      <c r="V18" s="11"/>
      <c r="W18" s="11"/>
      <c r="X18" s="11"/>
      <c r="Y18" s="11"/>
      <c r="Z18" s="11"/>
      <c r="AA18" s="11"/>
      <c r="AB18" s="11"/>
    </row>
    <row r="19" spans="1:28" ht="27.6" thickTop="1" thickBot="1" x14ac:dyDescent="0.55000000000000004">
      <c r="A19" s="453">
        <v>9</v>
      </c>
      <c r="B19" s="367" t="s">
        <v>25</v>
      </c>
      <c r="C19" s="380" t="s">
        <v>92</v>
      </c>
      <c r="D19" s="550"/>
      <c r="E19" s="397">
        <v>8</v>
      </c>
      <c r="F19" s="390" t="s">
        <v>93</v>
      </c>
      <c r="G19" s="550" t="s">
        <v>86</v>
      </c>
      <c r="H19" s="397">
        <v>8</v>
      </c>
      <c r="I19" s="249" t="s">
        <v>12</v>
      </c>
      <c r="J19" s="289"/>
      <c r="K19" s="370"/>
      <c r="L19" s="490" t="s">
        <v>93</v>
      </c>
      <c r="M19" s="550"/>
      <c r="N19" s="397">
        <v>8</v>
      </c>
      <c r="O19" s="377" t="s">
        <v>91</v>
      </c>
      <c r="P19" s="578"/>
      <c r="Q19" s="397">
        <v>8</v>
      </c>
      <c r="R19" s="577" t="s">
        <v>90</v>
      </c>
      <c r="S19" s="550"/>
      <c r="T19" s="550">
        <v>8</v>
      </c>
      <c r="V19" s="11"/>
      <c r="W19" s="11"/>
      <c r="X19" s="11"/>
      <c r="Y19" s="11"/>
      <c r="Z19" s="11"/>
      <c r="AA19" s="11"/>
      <c r="AB19" s="11"/>
    </row>
    <row r="20" spans="1:28" ht="27.6" thickTop="1" thickBot="1" x14ac:dyDescent="0.55000000000000004">
      <c r="A20" s="451">
        <v>10</v>
      </c>
      <c r="B20" s="363" t="s">
        <v>28</v>
      </c>
      <c r="C20" s="381" t="s">
        <v>92</v>
      </c>
      <c r="D20" s="551"/>
      <c r="E20" s="398">
        <v>8</v>
      </c>
      <c r="F20" s="390" t="s">
        <v>93</v>
      </c>
      <c r="G20" s="551" t="s">
        <v>86</v>
      </c>
      <c r="H20" s="397">
        <v>8</v>
      </c>
      <c r="I20" s="249" t="s">
        <v>12</v>
      </c>
      <c r="J20" s="286"/>
      <c r="K20" s="370"/>
      <c r="L20" s="490" t="s">
        <v>93</v>
      </c>
      <c r="M20" s="551"/>
      <c r="N20" s="397">
        <v>8</v>
      </c>
      <c r="O20" s="378" t="s">
        <v>91</v>
      </c>
      <c r="P20" s="579"/>
      <c r="Q20" s="397">
        <v>8</v>
      </c>
      <c r="R20" s="571" t="s">
        <v>90</v>
      </c>
      <c r="S20" s="551"/>
      <c r="T20" s="551">
        <v>8</v>
      </c>
      <c r="V20" s="11"/>
      <c r="W20" s="11"/>
      <c r="X20" s="11"/>
      <c r="Y20" s="10"/>
    </row>
    <row r="21" spans="1:28" ht="27" thickTop="1" thickBot="1" x14ac:dyDescent="0.45">
      <c r="A21" s="449">
        <v>11</v>
      </c>
      <c r="B21" s="363" t="s">
        <v>31</v>
      </c>
      <c r="C21" s="380" t="s">
        <v>92</v>
      </c>
      <c r="D21" s="551"/>
      <c r="E21" s="397">
        <v>8</v>
      </c>
      <c r="F21" s="390" t="s">
        <v>93</v>
      </c>
      <c r="G21" s="551" t="s">
        <v>86</v>
      </c>
      <c r="H21" s="397">
        <v>8</v>
      </c>
      <c r="I21" s="375" t="s">
        <v>90</v>
      </c>
      <c r="J21" s="551"/>
      <c r="K21" s="397">
        <v>8</v>
      </c>
      <c r="L21" s="490" t="s">
        <v>93</v>
      </c>
      <c r="M21" s="551"/>
      <c r="N21" s="397">
        <v>8</v>
      </c>
      <c r="O21" s="378" t="s">
        <v>91</v>
      </c>
      <c r="P21" s="452"/>
      <c r="Q21" s="397">
        <v>8</v>
      </c>
      <c r="R21" s="249" t="s">
        <v>12</v>
      </c>
      <c r="S21" s="551"/>
      <c r="T21" s="551"/>
    </row>
    <row r="22" spans="1:28" ht="27.6" thickTop="1" thickBot="1" x14ac:dyDescent="0.55000000000000004">
      <c r="A22" s="449">
        <v>12</v>
      </c>
      <c r="B22" s="363" t="s">
        <v>35</v>
      </c>
      <c r="C22" s="381" t="s">
        <v>92</v>
      </c>
      <c r="D22" s="558"/>
      <c r="E22" s="398">
        <v>8</v>
      </c>
      <c r="F22" s="390" t="s">
        <v>93</v>
      </c>
      <c r="G22" s="551" t="s">
        <v>86</v>
      </c>
      <c r="H22" s="397">
        <v>8</v>
      </c>
      <c r="I22" s="375" t="s">
        <v>90</v>
      </c>
      <c r="J22" s="292"/>
      <c r="K22" s="397">
        <v>8</v>
      </c>
      <c r="L22" s="490" t="s">
        <v>93</v>
      </c>
      <c r="M22" s="551"/>
      <c r="N22" s="397">
        <v>8</v>
      </c>
      <c r="O22" s="377" t="s">
        <v>91</v>
      </c>
      <c r="P22" s="579"/>
      <c r="Q22" s="397">
        <v>8</v>
      </c>
      <c r="R22" s="249" t="s">
        <v>12</v>
      </c>
      <c r="S22" s="551"/>
      <c r="T22" s="551"/>
      <c r="W22" s="374"/>
      <c r="X22" s="374"/>
      <c r="Y22" s="10"/>
    </row>
    <row r="23" spans="1:28" ht="27.6" thickTop="1" thickBot="1" x14ac:dyDescent="0.55000000000000004">
      <c r="A23" s="457">
        <v>13</v>
      </c>
      <c r="B23" s="366" t="s">
        <v>11</v>
      </c>
      <c r="C23" s="246" t="s">
        <v>12</v>
      </c>
      <c r="D23" s="552"/>
      <c r="E23" s="238"/>
      <c r="F23" s="391" t="s">
        <v>93</v>
      </c>
      <c r="G23" s="552" t="s">
        <v>86</v>
      </c>
      <c r="H23" s="399">
        <v>8</v>
      </c>
      <c r="I23" s="382" t="s">
        <v>90</v>
      </c>
      <c r="J23" s="298"/>
      <c r="K23" s="399">
        <v>8</v>
      </c>
      <c r="L23" s="388" t="s">
        <v>91</v>
      </c>
      <c r="M23" s="552"/>
      <c r="N23" s="399">
        <v>8</v>
      </c>
      <c r="O23" s="243" t="s">
        <v>12</v>
      </c>
      <c r="P23" s="580"/>
      <c r="Q23" s="399">
        <v>8</v>
      </c>
      <c r="R23" s="384" t="s">
        <v>92</v>
      </c>
      <c r="S23" s="572"/>
      <c r="T23" s="399">
        <v>8</v>
      </c>
      <c r="W23" s="11"/>
      <c r="X23" s="11"/>
      <c r="Y23" s="10"/>
    </row>
    <row r="24" spans="1:28" ht="27.6" thickTop="1" thickBot="1" x14ac:dyDescent="0.55000000000000004">
      <c r="A24" s="458">
        <v>14</v>
      </c>
      <c r="B24" s="402" t="s">
        <v>19</v>
      </c>
      <c r="C24" s="421" t="s">
        <v>12</v>
      </c>
      <c r="D24" s="574"/>
      <c r="E24" s="422"/>
      <c r="F24" s="421" t="s">
        <v>12</v>
      </c>
      <c r="G24" s="560" t="s">
        <v>86</v>
      </c>
      <c r="H24" s="422"/>
      <c r="I24" s="460" t="s">
        <v>90</v>
      </c>
      <c r="J24" s="461"/>
      <c r="K24" s="459">
        <v>8</v>
      </c>
      <c r="L24" s="423" t="s">
        <v>91</v>
      </c>
      <c r="M24" s="574"/>
      <c r="N24" s="459">
        <v>8</v>
      </c>
      <c r="O24" s="421" t="s">
        <v>12</v>
      </c>
      <c r="P24" s="581"/>
      <c r="Q24" s="459"/>
      <c r="R24" s="425" t="s">
        <v>92</v>
      </c>
      <c r="S24" s="426"/>
      <c r="T24" s="464">
        <v>8</v>
      </c>
      <c r="W24" s="11"/>
      <c r="X24" s="11"/>
      <c r="Y24" s="10"/>
    </row>
    <row r="25" spans="1:28" ht="27.6" thickTop="1" thickBot="1" x14ac:dyDescent="0.55000000000000004">
      <c r="A25" s="465">
        <v>15</v>
      </c>
      <c r="B25" s="403" t="s">
        <v>22</v>
      </c>
      <c r="C25" s="435" t="s">
        <v>90</v>
      </c>
      <c r="D25" s="436"/>
      <c r="E25" s="437">
        <v>8</v>
      </c>
      <c r="F25" s="431" t="s">
        <v>12</v>
      </c>
      <c r="G25" s="561" t="s">
        <v>86</v>
      </c>
      <c r="H25" s="432"/>
      <c r="I25" s="455" t="s">
        <v>12</v>
      </c>
      <c r="J25" s="576"/>
      <c r="K25" s="576"/>
      <c r="L25" s="431" t="s">
        <v>12</v>
      </c>
      <c r="M25" s="576"/>
      <c r="N25" s="432"/>
      <c r="O25" s="440" t="s">
        <v>91</v>
      </c>
      <c r="P25" s="582"/>
      <c r="Q25" s="439">
        <v>8</v>
      </c>
      <c r="R25" s="438" t="s">
        <v>92</v>
      </c>
      <c r="S25" s="436"/>
      <c r="T25" s="441">
        <v>8</v>
      </c>
      <c r="W25" s="11"/>
      <c r="X25" s="11"/>
      <c r="Y25" s="10"/>
    </row>
    <row r="26" spans="1:28" ht="27.6" thickTop="1" thickBot="1" x14ac:dyDescent="0.55000000000000004">
      <c r="A26" s="453">
        <v>16</v>
      </c>
      <c r="B26" s="367" t="s">
        <v>25</v>
      </c>
      <c r="C26" s="577" t="s">
        <v>90</v>
      </c>
      <c r="D26" s="550"/>
      <c r="E26" s="550">
        <v>8</v>
      </c>
      <c r="F26" s="490" t="s">
        <v>93</v>
      </c>
      <c r="G26" s="550"/>
      <c r="H26" s="397">
        <v>8</v>
      </c>
      <c r="I26" s="377" t="s">
        <v>91</v>
      </c>
      <c r="J26" s="550" t="s">
        <v>86</v>
      </c>
      <c r="K26" s="397">
        <v>8</v>
      </c>
      <c r="L26" s="390" t="s">
        <v>93</v>
      </c>
      <c r="M26" s="550"/>
      <c r="N26" s="397">
        <v>8</v>
      </c>
      <c r="O26" s="380" t="s">
        <v>92</v>
      </c>
      <c r="P26" s="550"/>
      <c r="Q26" s="397">
        <v>8</v>
      </c>
      <c r="R26" s="249" t="s">
        <v>12</v>
      </c>
      <c r="S26" s="289"/>
      <c r="T26" s="370"/>
      <c r="W26" s="11"/>
      <c r="X26" s="14"/>
      <c r="Y26" s="10"/>
    </row>
    <row r="27" spans="1:28" ht="27.6" thickTop="1" thickBot="1" x14ac:dyDescent="0.55000000000000004">
      <c r="A27" s="449">
        <v>17</v>
      </c>
      <c r="B27" s="363" t="s">
        <v>28</v>
      </c>
      <c r="C27" s="571" t="s">
        <v>90</v>
      </c>
      <c r="D27" s="551"/>
      <c r="E27" s="551">
        <v>8</v>
      </c>
      <c r="F27" s="490" t="s">
        <v>93</v>
      </c>
      <c r="G27" s="551"/>
      <c r="H27" s="397">
        <v>8</v>
      </c>
      <c r="I27" s="378" t="s">
        <v>91</v>
      </c>
      <c r="J27" s="551" t="s">
        <v>86</v>
      </c>
      <c r="K27" s="397">
        <v>8</v>
      </c>
      <c r="L27" s="390" t="s">
        <v>93</v>
      </c>
      <c r="M27" s="551"/>
      <c r="N27" s="397">
        <v>8</v>
      </c>
      <c r="O27" s="381" t="s">
        <v>92</v>
      </c>
      <c r="P27" s="551"/>
      <c r="Q27" s="398">
        <v>8</v>
      </c>
      <c r="R27" s="249" t="s">
        <v>12</v>
      </c>
      <c r="S27" s="286"/>
      <c r="T27" s="370"/>
      <c r="W27" s="11"/>
      <c r="X27" s="11"/>
      <c r="Y27" s="10"/>
    </row>
    <row r="28" spans="1:28" ht="27.6" thickTop="1" thickBot="1" x14ac:dyDescent="0.55000000000000004">
      <c r="A28" s="451">
        <v>18</v>
      </c>
      <c r="B28" s="363" t="s">
        <v>31</v>
      </c>
      <c r="C28" s="249" t="s">
        <v>12</v>
      </c>
      <c r="D28" s="551"/>
      <c r="E28" s="551"/>
      <c r="F28" s="490" t="s">
        <v>93</v>
      </c>
      <c r="G28" s="551"/>
      <c r="H28" s="397">
        <v>8</v>
      </c>
      <c r="I28" s="378" t="s">
        <v>91</v>
      </c>
      <c r="J28" s="551" t="s">
        <v>86</v>
      </c>
      <c r="K28" s="397">
        <v>8</v>
      </c>
      <c r="L28" s="390" t="s">
        <v>93</v>
      </c>
      <c r="M28" s="551"/>
      <c r="N28" s="397">
        <v>8</v>
      </c>
      <c r="O28" s="380" t="s">
        <v>92</v>
      </c>
      <c r="P28" s="551"/>
      <c r="Q28" s="397">
        <v>8</v>
      </c>
      <c r="R28" s="375" t="s">
        <v>90</v>
      </c>
      <c r="S28" s="551"/>
      <c r="T28" s="397">
        <v>8</v>
      </c>
      <c r="W28" s="11"/>
      <c r="X28" s="11"/>
      <c r="Y28" s="10"/>
    </row>
    <row r="29" spans="1:28" ht="27.6" thickTop="1" thickBot="1" x14ac:dyDescent="0.55000000000000004">
      <c r="A29" s="449">
        <v>19</v>
      </c>
      <c r="B29" s="363" t="s">
        <v>35</v>
      </c>
      <c r="C29" s="249" t="s">
        <v>12</v>
      </c>
      <c r="D29" s="551"/>
      <c r="E29" s="551"/>
      <c r="F29" s="490" t="s">
        <v>93</v>
      </c>
      <c r="G29" s="551"/>
      <c r="H29" s="397">
        <v>8</v>
      </c>
      <c r="I29" s="377" t="s">
        <v>91</v>
      </c>
      <c r="J29" s="551" t="s">
        <v>86</v>
      </c>
      <c r="K29" s="397">
        <v>8</v>
      </c>
      <c r="L29" s="390" t="s">
        <v>93</v>
      </c>
      <c r="M29" s="551"/>
      <c r="N29" s="397">
        <v>8</v>
      </c>
      <c r="O29" s="381" t="s">
        <v>92</v>
      </c>
      <c r="P29" s="558"/>
      <c r="Q29" s="398">
        <v>8</v>
      </c>
      <c r="R29" s="375" t="s">
        <v>90</v>
      </c>
      <c r="S29" s="292"/>
      <c r="T29" s="397">
        <v>8</v>
      </c>
      <c r="W29" s="11"/>
      <c r="X29" s="11"/>
      <c r="Y29" s="10"/>
    </row>
    <row r="30" spans="1:28" ht="27.6" thickTop="1" thickBot="1" x14ac:dyDescent="0.55000000000000004">
      <c r="A30" s="457">
        <v>20</v>
      </c>
      <c r="B30" s="366" t="s">
        <v>11</v>
      </c>
      <c r="C30" s="384" t="s">
        <v>92</v>
      </c>
      <c r="D30" s="572"/>
      <c r="E30" s="399">
        <v>8</v>
      </c>
      <c r="F30" s="388" t="s">
        <v>91</v>
      </c>
      <c r="G30" s="552"/>
      <c r="H30" s="399">
        <v>8</v>
      </c>
      <c r="I30" s="243" t="s">
        <v>12</v>
      </c>
      <c r="J30" s="552" t="s">
        <v>86</v>
      </c>
      <c r="K30" s="399">
        <v>8</v>
      </c>
      <c r="L30" s="391" t="s">
        <v>93</v>
      </c>
      <c r="M30" s="552"/>
      <c r="N30" s="399">
        <v>8</v>
      </c>
      <c r="O30" s="246" t="s">
        <v>12</v>
      </c>
      <c r="P30" s="552"/>
      <c r="Q30" s="238"/>
      <c r="R30" s="382" t="s">
        <v>90</v>
      </c>
      <c r="S30" s="298"/>
      <c r="T30" s="399">
        <v>8</v>
      </c>
      <c r="W30" s="11"/>
      <c r="X30" s="11"/>
      <c r="Y30" s="10"/>
      <c r="Z30" s="10"/>
    </row>
    <row r="31" spans="1:28" ht="27.6" thickTop="1" thickBot="1" x14ac:dyDescent="0.55000000000000004">
      <c r="A31" s="458">
        <v>21</v>
      </c>
      <c r="B31" s="402" t="s">
        <v>19</v>
      </c>
      <c r="C31" s="425" t="s">
        <v>92</v>
      </c>
      <c r="D31" s="426"/>
      <c r="E31" s="427">
        <v>8</v>
      </c>
      <c r="F31" s="423" t="s">
        <v>91</v>
      </c>
      <c r="G31" s="574"/>
      <c r="H31" s="459">
        <v>8</v>
      </c>
      <c r="I31" s="421" t="s">
        <v>12</v>
      </c>
      <c r="J31" s="560" t="s">
        <v>86</v>
      </c>
      <c r="K31" s="459"/>
      <c r="L31" s="421" t="s">
        <v>12</v>
      </c>
      <c r="M31" s="574"/>
      <c r="N31" s="422"/>
      <c r="O31" s="421" t="s">
        <v>12</v>
      </c>
      <c r="P31" s="574"/>
      <c r="Q31" s="422"/>
      <c r="R31" s="460" t="s">
        <v>90</v>
      </c>
      <c r="S31" s="461"/>
      <c r="T31" s="466">
        <v>8</v>
      </c>
      <c r="W31" s="11"/>
      <c r="X31" s="11"/>
      <c r="Y31" s="10"/>
      <c r="Z31" s="10"/>
    </row>
    <row r="32" spans="1:28" ht="27.6" thickTop="1" thickBot="1" x14ac:dyDescent="0.55000000000000004">
      <c r="A32" s="454">
        <v>22</v>
      </c>
      <c r="B32" s="403" t="s">
        <v>22</v>
      </c>
      <c r="C32" s="438" t="s">
        <v>92</v>
      </c>
      <c r="D32" s="436"/>
      <c r="E32" s="439">
        <v>8</v>
      </c>
      <c r="F32" s="431" t="s">
        <v>12</v>
      </c>
      <c r="G32" s="576"/>
      <c r="H32" s="432"/>
      <c r="I32" s="440" t="s">
        <v>91</v>
      </c>
      <c r="J32" s="561" t="s">
        <v>86</v>
      </c>
      <c r="K32" s="439">
        <v>8</v>
      </c>
      <c r="L32" s="431" t="s">
        <v>12</v>
      </c>
      <c r="M32" s="576"/>
      <c r="N32" s="432"/>
      <c r="O32" s="435" t="s">
        <v>90</v>
      </c>
      <c r="P32" s="436"/>
      <c r="Q32" s="437">
        <v>8</v>
      </c>
      <c r="R32" s="455" t="s">
        <v>12</v>
      </c>
      <c r="S32" s="576"/>
      <c r="T32" s="583"/>
      <c r="W32" s="11"/>
      <c r="X32" s="11"/>
      <c r="Y32" s="10"/>
      <c r="Z32" s="10"/>
    </row>
    <row r="33" spans="1:26" ht="27.6" thickTop="1" thickBot="1" x14ac:dyDescent="0.55000000000000004">
      <c r="A33" s="453">
        <v>23</v>
      </c>
      <c r="B33" s="367" t="s">
        <v>25</v>
      </c>
      <c r="C33" s="249" t="s">
        <v>12</v>
      </c>
      <c r="D33" s="289"/>
      <c r="E33" s="370"/>
      <c r="F33" s="390" t="s">
        <v>93</v>
      </c>
      <c r="G33" s="550"/>
      <c r="H33" s="397">
        <v>8</v>
      </c>
      <c r="I33" s="380" t="s">
        <v>92</v>
      </c>
      <c r="J33" s="550"/>
      <c r="K33" s="397">
        <v>8</v>
      </c>
      <c r="L33" s="577" t="s">
        <v>90</v>
      </c>
      <c r="M33" s="550"/>
      <c r="N33" s="550">
        <v>8</v>
      </c>
      <c r="O33" s="249" t="s">
        <v>12</v>
      </c>
      <c r="P33" s="550"/>
      <c r="Q33" s="227"/>
      <c r="R33" s="377" t="s">
        <v>91</v>
      </c>
      <c r="S33" s="550" t="s">
        <v>86</v>
      </c>
      <c r="T33" s="397">
        <v>8</v>
      </c>
      <c r="W33" s="11"/>
      <c r="X33" s="11"/>
      <c r="Y33" s="10"/>
      <c r="Z33" s="10"/>
    </row>
    <row r="34" spans="1:26" ht="27.6" thickTop="1" thickBot="1" x14ac:dyDescent="0.55000000000000004">
      <c r="A34" s="451">
        <v>24</v>
      </c>
      <c r="B34" s="363" t="s">
        <v>28</v>
      </c>
      <c r="C34" s="249" t="s">
        <v>12</v>
      </c>
      <c r="D34" s="286"/>
      <c r="E34" s="370"/>
      <c r="F34" s="390" t="s">
        <v>93</v>
      </c>
      <c r="G34" s="551"/>
      <c r="H34" s="397">
        <v>8</v>
      </c>
      <c r="I34" s="381" t="s">
        <v>92</v>
      </c>
      <c r="J34" s="551"/>
      <c r="K34" s="398">
        <v>8</v>
      </c>
      <c r="L34" s="571" t="s">
        <v>90</v>
      </c>
      <c r="M34" s="551"/>
      <c r="N34" s="551">
        <v>8</v>
      </c>
      <c r="O34" s="490" t="s">
        <v>93</v>
      </c>
      <c r="P34" s="551"/>
      <c r="Q34" s="397">
        <v>8</v>
      </c>
      <c r="R34" s="378" t="s">
        <v>91</v>
      </c>
      <c r="S34" s="551" t="s">
        <v>86</v>
      </c>
      <c r="T34" s="397">
        <v>8</v>
      </c>
      <c r="W34" s="11"/>
      <c r="X34" s="14"/>
      <c r="Y34" s="10"/>
      <c r="Z34" s="10"/>
    </row>
    <row r="35" spans="1:26" ht="27.6" thickTop="1" thickBot="1" x14ac:dyDescent="0.55000000000000004">
      <c r="A35" s="449">
        <v>25</v>
      </c>
      <c r="B35" s="363" t="s">
        <v>31</v>
      </c>
      <c r="C35" s="375" t="s">
        <v>90</v>
      </c>
      <c r="D35" s="551"/>
      <c r="E35" s="397">
        <v>8</v>
      </c>
      <c r="F35" s="390" t="s">
        <v>93</v>
      </c>
      <c r="G35" s="551"/>
      <c r="H35" s="397">
        <v>8</v>
      </c>
      <c r="I35" s="380" t="s">
        <v>92</v>
      </c>
      <c r="J35" s="551"/>
      <c r="K35" s="397">
        <v>8</v>
      </c>
      <c r="L35" s="249" t="s">
        <v>12</v>
      </c>
      <c r="M35" s="551"/>
      <c r="N35" s="551"/>
      <c r="O35" s="490" t="s">
        <v>93</v>
      </c>
      <c r="P35" s="551"/>
      <c r="Q35" s="397">
        <v>8</v>
      </c>
      <c r="R35" s="378" t="s">
        <v>91</v>
      </c>
      <c r="S35" s="551" t="s">
        <v>86</v>
      </c>
      <c r="T35" s="397">
        <v>8</v>
      </c>
      <c r="W35" s="11"/>
      <c r="X35" s="11"/>
      <c r="Y35" s="10"/>
      <c r="Z35" s="10"/>
    </row>
    <row r="36" spans="1:26" ht="27.6" thickTop="1" thickBot="1" x14ac:dyDescent="0.55000000000000004">
      <c r="A36" s="449">
        <v>26</v>
      </c>
      <c r="B36" s="363" t="s">
        <v>35</v>
      </c>
      <c r="C36" s="375" t="s">
        <v>90</v>
      </c>
      <c r="D36" s="292"/>
      <c r="E36" s="397">
        <v>8</v>
      </c>
      <c r="F36" s="390" t="s">
        <v>93</v>
      </c>
      <c r="G36" s="551"/>
      <c r="H36" s="397">
        <v>8</v>
      </c>
      <c r="I36" s="381" t="s">
        <v>92</v>
      </c>
      <c r="J36" s="558"/>
      <c r="K36" s="398">
        <v>8</v>
      </c>
      <c r="L36" s="249" t="s">
        <v>12</v>
      </c>
      <c r="M36" s="551"/>
      <c r="N36" s="551"/>
      <c r="O36" s="490" t="s">
        <v>93</v>
      </c>
      <c r="P36" s="551"/>
      <c r="Q36" s="397">
        <v>8</v>
      </c>
      <c r="R36" s="377" t="s">
        <v>91</v>
      </c>
      <c r="S36" s="551" t="s">
        <v>86</v>
      </c>
      <c r="T36" s="397">
        <v>8</v>
      </c>
      <c r="W36" s="11"/>
      <c r="X36" s="11"/>
      <c r="Y36" s="10"/>
      <c r="Z36" s="10"/>
    </row>
    <row r="37" spans="1:26" ht="27.6" thickTop="1" thickBot="1" x14ac:dyDescent="0.55000000000000004">
      <c r="A37" s="457">
        <v>27</v>
      </c>
      <c r="B37" s="366" t="s">
        <v>11</v>
      </c>
      <c r="C37" s="382" t="s">
        <v>90</v>
      </c>
      <c r="D37" s="298"/>
      <c r="E37" s="399">
        <v>8</v>
      </c>
      <c r="F37" s="391" t="s">
        <v>93</v>
      </c>
      <c r="G37" s="552"/>
      <c r="H37" s="399">
        <v>8</v>
      </c>
      <c r="I37" s="246" t="s">
        <v>12</v>
      </c>
      <c r="J37" s="552"/>
      <c r="K37" s="238"/>
      <c r="L37" s="384" t="s">
        <v>92</v>
      </c>
      <c r="M37" s="572"/>
      <c r="N37" s="399">
        <v>8</v>
      </c>
      <c r="O37" s="388" t="s">
        <v>91</v>
      </c>
      <c r="P37" s="552"/>
      <c r="Q37" s="399">
        <v>8</v>
      </c>
      <c r="R37" s="243" t="s">
        <v>12</v>
      </c>
      <c r="S37" s="552" t="s">
        <v>86</v>
      </c>
      <c r="T37" s="399">
        <v>8</v>
      </c>
      <c r="W37" s="11"/>
      <c r="X37" s="11"/>
      <c r="Y37" s="10"/>
      <c r="Z37" s="10"/>
    </row>
    <row r="38" spans="1:26" ht="27.6" thickTop="1" thickBot="1" x14ac:dyDescent="0.55000000000000004">
      <c r="A38" s="458">
        <v>28</v>
      </c>
      <c r="B38" s="402" t="s">
        <v>19</v>
      </c>
      <c r="C38" s="460" t="s">
        <v>90</v>
      </c>
      <c r="D38" s="461"/>
      <c r="E38" s="459">
        <v>8</v>
      </c>
      <c r="F38" s="421" t="s">
        <v>12</v>
      </c>
      <c r="G38" s="574"/>
      <c r="H38" s="422"/>
      <c r="I38" s="421" t="s">
        <v>12</v>
      </c>
      <c r="J38" s="574"/>
      <c r="K38" s="422"/>
      <c r="L38" s="425" t="s">
        <v>92</v>
      </c>
      <c r="M38" s="426"/>
      <c r="N38" s="427">
        <v>8</v>
      </c>
      <c r="O38" s="423" t="s">
        <v>91</v>
      </c>
      <c r="P38" s="574"/>
      <c r="Q38" s="459">
        <v>8</v>
      </c>
      <c r="R38" s="421" t="s">
        <v>12</v>
      </c>
      <c r="S38" s="560" t="s">
        <v>86</v>
      </c>
      <c r="T38" s="466"/>
      <c r="W38" s="11"/>
      <c r="X38" s="11"/>
      <c r="Y38" s="10"/>
      <c r="Z38" s="10"/>
    </row>
    <row r="39" spans="1:26" ht="27.6" thickTop="1" thickBot="1" x14ac:dyDescent="0.55000000000000004">
      <c r="A39" s="454">
        <v>29</v>
      </c>
      <c r="B39" s="403" t="s">
        <v>22</v>
      </c>
      <c r="C39" s="455" t="s">
        <v>12</v>
      </c>
      <c r="D39" s="576"/>
      <c r="E39" s="576"/>
      <c r="F39" s="431" t="s">
        <v>12</v>
      </c>
      <c r="G39" s="576"/>
      <c r="H39" s="432"/>
      <c r="I39" s="435" t="s">
        <v>90</v>
      </c>
      <c r="J39" s="436"/>
      <c r="K39" s="437">
        <v>8</v>
      </c>
      <c r="L39" s="438" t="s">
        <v>92</v>
      </c>
      <c r="M39" s="436"/>
      <c r="N39" s="439">
        <v>8</v>
      </c>
      <c r="O39" s="431" t="s">
        <v>12</v>
      </c>
      <c r="P39" s="576"/>
      <c r="Q39" s="432"/>
      <c r="R39" s="440" t="s">
        <v>91</v>
      </c>
      <c r="S39" s="561" t="s">
        <v>86</v>
      </c>
      <c r="T39" s="441">
        <v>8</v>
      </c>
      <c r="W39" s="11"/>
      <c r="X39" s="11"/>
      <c r="Y39" s="10"/>
      <c r="Z39" s="10"/>
    </row>
    <row r="40" spans="1:26" ht="27.6" thickTop="1" thickBot="1" x14ac:dyDescent="0.55000000000000004">
      <c r="A40" s="453">
        <v>30</v>
      </c>
      <c r="B40" s="367" t="s">
        <v>25</v>
      </c>
      <c r="C40" s="377" t="s">
        <v>91</v>
      </c>
      <c r="D40" s="578"/>
      <c r="E40" s="397">
        <v>8</v>
      </c>
      <c r="F40" s="490" t="s">
        <v>93</v>
      </c>
      <c r="G40" s="550"/>
      <c r="H40" s="397">
        <v>8</v>
      </c>
      <c r="I40" s="577" t="s">
        <v>90</v>
      </c>
      <c r="J40" s="550"/>
      <c r="K40" s="550">
        <v>8</v>
      </c>
      <c r="L40" s="249" t="s">
        <v>12</v>
      </c>
      <c r="M40" s="578"/>
      <c r="N40" s="467"/>
      <c r="O40" s="390" t="s">
        <v>93</v>
      </c>
      <c r="P40" s="550" t="s">
        <v>86</v>
      </c>
      <c r="Q40" s="397">
        <v>8</v>
      </c>
      <c r="R40" s="380" t="s">
        <v>92</v>
      </c>
      <c r="S40" s="550"/>
      <c r="T40" s="397">
        <v>8</v>
      </c>
      <c r="X40" s="14"/>
      <c r="Y40" s="10"/>
      <c r="Z40" s="10"/>
    </row>
    <row r="41" spans="1:26" ht="27.6" thickTop="1" thickBot="1" x14ac:dyDescent="0.55000000000000004">
      <c r="A41" s="451">
        <v>31</v>
      </c>
      <c r="B41" s="363" t="s">
        <v>28</v>
      </c>
      <c r="C41" s="378" t="s">
        <v>91</v>
      </c>
      <c r="D41" s="579"/>
      <c r="E41" s="397">
        <v>8</v>
      </c>
      <c r="F41" s="490" t="s">
        <v>93</v>
      </c>
      <c r="G41" s="551"/>
      <c r="H41" s="397">
        <v>8</v>
      </c>
      <c r="I41" s="571" t="s">
        <v>90</v>
      </c>
      <c r="J41" s="551"/>
      <c r="K41" s="551">
        <v>8</v>
      </c>
      <c r="L41" s="249" t="s">
        <v>12</v>
      </c>
      <c r="M41" s="584"/>
      <c r="N41" s="450"/>
      <c r="O41" s="390" t="s">
        <v>93</v>
      </c>
      <c r="P41" s="551" t="s">
        <v>86</v>
      </c>
      <c r="Q41" s="397">
        <v>8</v>
      </c>
      <c r="R41" s="381" t="s">
        <v>92</v>
      </c>
      <c r="S41" s="551"/>
      <c r="T41" s="398">
        <v>8</v>
      </c>
      <c r="X41" s="11"/>
      <c r="Y41" s="10"/>
    </row>
    <row r="42" spans="1:26" ht="28.8" thickTop="1" thickBot="1" x14ac:dyDescent="0.55000000000000004">
      <c r="E42" s="12">
        <f>SUM(E12:E41)</f>
        <v>176</v>
      </c>
      <c r="H42" s="12">
        <f>SUM(H11:H41)</f>
        <v>192</v>
      </c>
      <c r="K42" s="12">
        <f>SUM(K11:K41)</f>
        <v>184</v>
      </c>
      <c r="N42" s="12">
        <f>SUM(N11:N41)</f>
        <v>168</v>
      </c>
      <c r="Q42" s="12">
        <f>SUM(Q11:Q41)</f>
        <v>184</v>
      </c>
      <c r="T42" s="12">
        <f>SUM(T11:T41)</f>
        <v>184</v>
      </c>
      <c r="X42" s="11"/>
      <c r="Y42" s="10"/>
    </row>
    <row r="43" spans="1:26" ht="26.4" thickTop="1" x14ac:dyDescent="0.5">
      <c r="X43" s="11"/>
      <c r="Y43" s="10"/>
    </row>
    <row r="44" spans="1:26" ht="25.8" x14ac:dyDescent="0.5">
      <c r="X44" s="11"/>
      <c r="Y44" s="10"/>
    </row>
    <row r="45" spans="1:26" ht="25.8" x14ac:dyDescent="0.5">
      <c r="X45" s="11"/>
      <c r="Y45" s="10"/>
    </row>
    <row r="46" spans="1:26" ht="36.6" x14ac:dyDescent="0.5">
      <c r="B46" s="674" t="s">
        <v>97</v>
      </c>
      <c r="C46" s="358" t="s">
        <v>32</v>
      </c>
      <c r="D46" s="358"/>
      <c r="E46" s="358">
        <f>COUNTIF(C11:C41,"FERIE")*8</f>
        <v>0</v>
      </c>
      <c r="F46" s="358" t="s">
        <v>32</v>
      </c>
      <c r="G46" s="358"/>
      <c r="H46" s="358">
        <f>COUNTIF(F11:F41,"FERIE")*8</f>
        <v>0</v>
      </c>
      <c r="I46" s="358" t="s">
        <v>32</v>
      </c>
      <c r="J46" s="360"/>
      <c r="K46" s="358">
        <f>COUNTIF(I11:I41,"FERIE")*8</f>
        <v>0</v>
      </c>
      <c r="L46" s="358" t="s">
        <v>32</v>
      </c>
      <c r="M46" s="358"/>
      <c r="N46" s="358">
        <f>COUNTIF(L11:L41,"FERIE")*8</f>
        <v>0</v>
      </c>
      <c r="O46" s="358" t="s">
        <v>32</v>
      </c>
      <c r="P46" s="358"/>
      <c r="Q46" s="358">
        <f>COUNTIF(O11:O41,"FERIE")*8</f>
        <v>0</v>
      </c>
      <c r="R46" s="358" t="s">
        <v>32</v>
      </c>
      <c r="S46" s="358"/>
      <c r="T46" s="358">
        <f>COUNTIF(R11:R41,"FERIE")*8</f>
        <v>0</v>
      </c>
      <c r="X46" s="11"/>
      <c r="Y46" s="10"/>
    </row>
    <row r="47" spans="1:26" ht="36.6" x14ac:dyDescent="0.5">
      <c r="B47" s="675"/>
      <c r="C47" s="358" t="s">
        <v>55</v>
      </c>
      <c r="D47" s="358"/>
      <c r="E47" s="358">
        <f>COUNTIF(C11:C41,"riposo")</f>
        <v>10</v>
      </c>
      <c r="F47" s="358" t="s">
        <v>55</v>
      </c>
      <c r="G47" s="358"/>
      <c r="H47" s="358">
        <f>COUNTIF(F11:F41,"riposo")</f>
        <v>7</v>
      </c>
      <c r="I47" s="358" t="s">
        <v>55</v>
      </c>
      <c r="J47" s="360"/>
      <c r="K47" s="358">
        <f>COUNTIF(I11:I41,"riposo")</f>
        <v>9</v>
      </c>
      <c r="L47" s="358" t="s">
        <v>55</v>
      </c>
      <c r="M47" s="358"/>
      <c r="N47" s="358">
        <f>COUNTIF(L11:L41,"riposo")</f>
        <v>10</v>
      </c>
      <c r="O47" s="358" t="s">
        <v>55</v>
      </c>
      <c r="P47" s="358"/>
      <c r="Q47" s="358">
        <f>COUNTIF(O11:O41,"riposo")</f>
        <v>9</v>
      </c>
      <c r="R47" s="358" t="s">
        <v>55</v>
      </c>
      <c r="S47" s="358"/>
      <c r="T47" s="358">
        <f>COUNTIF(R11:R41,"riposo")</f>
        <v>9</v>
      </c>
      <c r="X47" s="11"/>
      <c r="Y47" s="10"/>
    </row>
    <row r="48" spans="1:26" ht="36.6" x14ac:dyDescent="0.3">
      <c r="B48" s="675"/>
      <c r="C48" s="358" t="s">
        <v>56</v>
      </c>
      <c r="D48" s="358"/>
      <c r="E48" s="358">
        <f>+E42-E46</f>
        <v>176</v>
      </c>
      <c r="F48" s="358" t="s">
        <v>56</v>
      </c>
      <c r="G48" s="358"/>
      <c r="H48" s="358">
        <f>+H42-H46</f>
        <v>192</v>
      </c>
      <c r="I48" s="358" t="s">
        <v>56</v>
      </c>
      <c r="J48" s="360"/>
      <c r="K48" s="358">
        <f>+K42-K46</f>
        <v>184</v>
      </c>
      <c r="L48" s="358" t="s">
        <v>56</v>
      </c>
      <c r="M48" s="358"/>
      <c r="N48" s="358">
        <f>+N42-N46</f>
        <v>168</v>
      </c>
      <c r="O48" s="358" t="s">
        <v>56</v>
      </c>
      <c r="P48" s="358"/>
      <c r="Q48" s="358">
        <f>+Q42-Q46</f>
        <v>184</v>
      </c>
      <c r="R48" s="358" t="s">
        <v>56</v>
      </c>
      <c r="S48" s="358"/>
      <c r="T48" s="358">
        <f>+T42-T46</f>
        <v>184</v>
      </c>
    </row>
    <row r="49" spans="2:20" ht="36.6" x14ac:dyDescent="0.3">
      <c r="B49" s="675"/>
      <c r="C49" s="358" t="s">
        <v>88</v>
      </c>
      <c r="D49" s="360"/>
      <c r="E49" s="358">
        <f>COUNTIF(D11:D41,"R")</f>
        <v>7</v>
      </c>
      <c r="F49" s="358" t="s">
        <v>88</v>
      </c>
      <c r="G49" s="360"/>
      <c r="H49" s="358">
        <f>COUNTIF(G11:G41,"R")</f>
        <v>7</v>
      </c>
      <c r="I49" s="358" t="s">
        <v>88</v>
      </c>
      <c r="J49" s="360"/>
      <c r="K49" s="358">
        <f>COUNTIF(J11:J41,"R")</f>
        <v>7</v>
      </c>
      <c r="L49" s="358" t="s">
        <v>88</v>
      </c>
      <c r="M49" s="360"/>
      <c r="N49" s="358">
        <f>COUNTIF(M11:M41,"R")</f>
        <v>0</v>
      </c>
      <c r="O49" s="358" t="s">
        <v>88</v>
      </c>
      <c r="P49" s="360"/>
      <c r="Q49" s="358">
        <f>COUNTIF(P11:P41,"R")</f>
        <v>2</v>
      </c>
      <c r="R49" s="358" t="s">
        <v>88</v>
      </c>
      <c r="S49" s="360"/>
      <c r="T49" s="358">
        <f>COUNTIF(S11:S41,"R")</f>
        <v>8</v>
      </c>
    </row>
    <row r="50" spans="2:20" ht="36.6" x14ac:dyDescent="0.3">
      <c r="B50" s="675"/>
      <c r="C50" s="358" t="s">
        <v>98</v>
      </c>
      <c r="D50" s="360"/>
      <c r="E50" s="358">
        <f>COUNTIF(C11:C41,"22*")</f>
        <v>7</v>
      </c>
      <c r="F50" s="358" t="s">
        <v>98</v>
      </c>
      <c r="G50" s="360"/>
      <c r="H50" s="358">
        <f>COUNTIF(F11:F41,"2*")</f>
        <v>0</v>
      </c>
      <c r="I50" s="358" t="s">
        <v>98</v>
      </c>
      <c r="J50" s="360"/>
      <c r="K50" s="358">
        <f>COUNTIF(I11:I41,"2*")</f>
        <v>7</v>
      </c>
      <c r="L50" s="358" t="s">
        <v>98</v>
      </c>
      <c r="M50" s="360"/>
      <c r="N50" s="358">
        <f>COUNTIF(L11:L41,"2*")</f>
        <v>3</v>
      </c>
      <c r="O50" s="358" t="s">
        <v>98</v>
      </c>
      <c r="P50" s="360"/>
      <c r="Q50" s="358">
        <f>COUNTIF(O11:O41,"2*")</f>
        <v>5</v>
      </c>
      <c r="R50" s="358" t="s">
        <v>98</v>
      </c>
      <c r="S50" s="360"/>
      <c r="T50" s="358">
        <f>COUNTIF(R11:R41,"2*")</f>
        <v>9</v>
      </c>
    </row>
    <row r="51" spans="2:20" ht="36.6" x14ac:dyDescent="0.3">
      <c r="B51" s="675"/>
      <c r="C51" s="358" t="s">
        <v>99</v>
      </c>
      <c r="D51" s="360"/>
      <c r="E51" s="358">
        <f>(COUNTIF(C11:C41,"malattia"))*8</f>
        <v>0</v>
      </c>
      <c r="F51" s="358" t="s">
        <v>99</v>
      </c>
      <c r="G51" s="360"/>
      <c r="H51" s="358">
        <f>(COUNTIF(F11:F41,"malattia"))*8</f>
        <v>0</v>
      </c>
      <c r="I51" s="358" t="s">
        <v>99</v>
      </c>
      <c r="J51" s="360"/>
      <c r="K51" s="358">
        <f>(COUNTIF(I11:I41,"malattia"))*8</f>
        <v>0</v>
      </c>
      <c r="L51" s="358" t="s">
        <v>99</v>
      </c>
      <c r="M51" s="360"/>
      <c r="N51" s="358">
        <f>(COUNTIF(L11:L41,"malattia"))*8</f>
        <v>0</v>
      </c>
      <c r="O51" s="358" t="s">
        <v>99</v>
      </c>
      <c r="P51" s="360"/>
      <c r="Q51" s="358">
        <f>(COUNTIF(O11:O41,"malattia"))*8</f>
        <v>0</v>
      </c>
      <c r="R51" s="358" t="s">
        <v>99</v>
      </c>
      <c r="S51" s="360"/>
      <c r="T51" s="358">
        <f>(COUNTIF(R11:R41,"malattia"))*8</f>
        <v>0</v>
      </c>
    </row>
    <row r="52" spans="2:20" ht="37.200000000000003" thickBot="1" x14ac:dyDescent="0.35">
      <c r="B52" s="690"/>
      <c r="C52" s="361" t="s">
        <v>100</v>
      </c>
      <c r="D52" s="361"/>
      <c r="E52" s="361">
        <f>+E42-$B$54</f>
        <v>0</v>
      </c>
      <c r="F52" s="361"/>
      <c r="G52" s="361"/>
      <c r="H52" s="361">
        <f>+H42-$B$54</f>
        <v>16</v>
      </c>
      <c r="I52" s="361"/>
      <c r="J52" s="361"/>
      <c r="K52" s="361">
        <f>+K42-$B$54</f>
        <v>8</v>
      </c>
      <c r="L52" s="361"/>
      <c r="M52" s="361"/>
      <c r="N52" s="361">
        <f>+N42-$B$54</f>
        <v>-8</v>
      </c>
      <c r="O52" s="361"/>
      <c r="P52" s="361"/>
      <c r="Q52" s="361">
        <f>+Q42-$B$54</f>
        <v>8</v>
      </c>
      <c r="R52" s="361"/>
      <c r="S52" s="361"/>
      <c r="T52" s="361">
        <f>+T42-$B$54</f>
        <v>8</v>
      </c>
    </row>
    <row r="53" spans="2:20" ht="37.799999999999997" thickTop="1" thickBot="1" x14ac:dyDescent="0.35">
      <c r="B53" s="356">
        <f>+E42+H42+K42+N42+Q42+T42</f>
        <v>1088</v>
      </c>
      <c r="C53" s="360"/>
      <c r="D53" s="360"/>
      <c r="E53" s="360"/>
      <c r="F53" s="360"/>
      <c r="G53" s="360"/>
      <c r="H53" s="360"/>
      <c r="I53" s="360"/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</row>
    <row r="54" spans="2:20" ht="37.200000000000003" thickTop="1" x14ac:dyDescent="0.7">
      <c r="B54" s="357">
        <f>((COUNTA($B$11:$B$41)*8)-(9*8))</f>
        <v>176</v>
      </c>
    </row>
  </sheetData>
  <sheetProtection algorithmName="SHA-512" hashValue="QGb/HUxxDhxbETOXqRLACjbRdxbCRKRc5OJZXNdvCImLKrdOSMlNDzCEYs0npkaCk/X8yltzuAUR6JjWEYME4g==" saltValue="Tyi/kkrtkoBkUyFLlORvDQ==" spinCount="100000" sheet="1" formatCells="0" formatColumns="0" formatRows="0" insertColumns="0" insertRows="0" insertHyperlinks="0" deleteColumns="0" deleteRows="0" sort="0" autoFilter="0" pivotTables="0"/>
  <mergeCells count="22">
    <mergeCell ref="O7:O8"/>
    <mergeCell ref="B46:B52"/>
    <mergeCell ref="J7:J8"/>
    <mergeCell ref="K7:K8"/>
    <mergeCell ref="L7:L8"/>
    <mergeCell ref="M7:M8"/>
    <mergeCell ref="A5:T5"/>
    <mergeCell ref="A6:B8"/>
    <mergeCell ref="C6:T6"/>
    <mergeCell ref="C7:C8"/>
    <mergeCell ref="D7:D8"/>
    <mergeCell ref="E7:E8"/>
    <mergeCell ref="F7:F8"/>
    <mergeCell ref="G7:G8"/>
    <mergeCell ref="H7:H8"/>
    <mergeCell ref="I7:I8"/>
    <mergeCell ref="P7:P8"/>
    <mergeCell ref="Q7:Q8"/>
    <mergeCell ref="R7:R8"/>
    <mergeCell ref="S7:S8"/>
    <mergeCell ref="T7:T8"/>
    <mergeCell ref="N7:N8"/>
  </mergeCells>
  <conditionalFormatting sqref="E52 G52:H52 J52:K52 M52:N52 P52:Q52 S52:T52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  <pageSetup paperSize="8" scale="46" orientation="landscape" r:id="rId1"/>
  <colBreaks count="1" manualBreakCount="1">
    <brk id="21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AF54"/>
  <sheetViews>
    <sheetView zoomScale="40" zoomScaleNormal="40" zoomScaleSheetLayoutView="30" workbookViewId="0">
      <pane ySplit="8" topLeftCell="A9" activePane="bottomLeft" state="frozen"/>
      <selection activeCell="B1" sqref="B1"/>
      <selection pane="bottomLeft" activeCell="D42" sqref="D42"/>
    </sheetView>
  </sheetViews>
  <sheetFormatPr defaultColWidth="14.44140625" defaultRowHeight="14.4" x14ac:dyDescent="0.3"/>
  <cols>
    <col min="1" max="2" width="21.6640625" customWidth="1"/>
    <col min="3" max="3" width="30.6640625" customWidth="1"/>
    <col min="4" max="5" width="14.44140625" customWidth="1"/>
    <col min="6" max="6" width="30.6640625" customWidth="1"/>
    <col min="7" max="8" width="14.44140625" customWidth="1"/>
    <col min="9" max="9" width="32.6640625" customWidth="1"/>
    <col min="10" max="10" width="14.44140625" customWidth="1"/>
    <col min="11" max="11" width="15.5546875" customWidth="1"/>
    <col min="12" max="12" width="31.44140625" customWidth="1"/>
    <col min="13" max="13" width="14.44140625" customWidth="1"/>
    <col min="14" max="14" width="14.6640625" customWidth="1"/>
    <col min="15" max="15" width="29.33203125" customWidth="1"/>
    <col min="16" max="16" width="14.44140625" customWidth="1"/>
    <col min="17" max="17" width="15.5546875" customWidth="1"/>
    <col min="18" max="18" width="34.44140625" customWidth="1"/>
    <col min="19" max="19" width="14.44140625" customWidth="1"/>
    <col min="20" max="20" width="15.5546875" customWidth="1"/>
    <col min="21" max="22" width="9.109375" customWidth="1"/>
    <col min="23" max="24" width="33.88671875" customWidth="1"/>
    <col min="25" max="25" width="67.44140625" customWidth="1"/>
    <col min="26" max="32" width="9.109375" customWidth="1"/>
  </cols>
  <sheetData>
    <row r="2" spans="1:32" ht="24" x14ac:dyDescent="0.45">
      <c r="A2" s="79"/>
      <c r="B2" s="79"/>
      <c r="C2" s="78"/>
      <c r="D2" s="78"/>
      <c r="E2" s="79" t="s">
        <v>136</v>
      </c>
      <c r="F2" s="78"/>
      <c r="G2" s="78"/>
      <c r="H2" s="79"/>
      <c r="I2" s="79"/>
      <c r="J2" s="79"/>
      <c r="K2" s="78"/>
      <c r="L2" s="78"/>
      <c r="M2" s="78"/>
      <c r="N2" s="78"/>
      <c r="O2" s="79"/>
      <c r="P2" s="79"/>
      <c r="Q2" s="78"/>
      <c r="R2" s="79"/>
      <c r="S2" s="79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</row>
    <row r="3" spans="1:32" ht="24" x14ac:dyDescent="0.45">
      <c r="A3" s="79"/>
      <c r="B3" s="79"/>
      <c r="C3" s="78"/>
      <c r="D3" s="78"/>
      <c r="E3" s="79" t="s">
        <v>1</v>
      </c>
      <c r="F3" s="78"/>
      <c r="G3" s="78"/>
      <c r="H3" s="79"/>
      <c r="I3" s="79"/>
      <c r="J3" s="79"/>
      <c r="K3" s="78"/>
      <c r="L3" s="78"/>
      <c r="M3" s="78"/>
      <c r="N3" s="78"/>
      <c r="O3" s="79"/>
      <c r="P3" s="79"/>
      <c r="Q3" s="78"/>
      <c r="R3" s="79"/>
      <c r="S3" s="79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2" ht="15" thickBot="1" x14ac:dyDescent="0.35"/>
    <row r="5" spans="1:32" ht="54.6" thickTop="1" thickBot="1" x14ac:dyDescent="0.35">
      <c r="A5" s="653" t="s">
        <v>2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 s="654"/>
      <c r="N5" s="654"/>
      <c r="O5" s="654"/>
      <c r="P5" s="654"/>
      <c r="Q5" s="654"/>
      <c r="R5" s="654"/>
      <c r="S5" s="654"/>
      <c r="T5" s="655"/>
    </row>
    <row r="6" spans="1:32" ht="27" thickTop="1" thickBot="1" x14ac:dyDescent="0.35">
      <c r="A6" s="656" t="s">
        <v>84</v>
      </c>
      <c r="B6" s="657"/>
      <c r="C6" s="660"/>
      <c r="D6" s="660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2"/>
    </row>
    <row r="7" spans="1:32" ht="29.4" customHeight="1" thickTop="1" x14ac:dyDescent="0.3">
      <c r="A7" s="658"/>
      <c r="B7" s="658"/>
      <c r="C7" s="683" t="s">
        <v>137</v>
      </c>
      <c r="D7" s="669" t="s">
        <v>85</v>
      </c>
      <c r="E7" s="649" t="s">
        <v>138</v>
      </c>
      <c r="F7" s="685" t="s">
        <v>139</v>
      </c>
      <c r="G7" s="669" t="s">
        <v>85</v>
      </c>
      <c r="H7" s="649" t="s">
        <v>138</v>
      </c>
      <c r="I7" s="686" t="s">
        <v>140</v>
      </c>
      <c r="J7" s="669" t="s">
        <v>85</v>
      </c>
      <c r="K7" s="649" t="s">
        <v>138</v>
      </c>
      <c r="L7" s="687" t="s">
        <v>141</v>
      </c>
      <c r="M7" s="669" t="s">
        <v>85</v>
      </c>
      <c r="N7" s="649" t="s">
        <v>138</v>
      </c>
      <c r="O7" s="689" t="s">
        <v>142</v>
      </c>
      <c r="P7" s="669" t="s">
        <v>85</v>
      </c>
      <c r="Q7" s="649" t="s">
        <v>138</v>
      </c>
      <c r="R7" s="666" t="s">
        <v>143</v>
      </c>
      <c r="S7" s="669" t="s">
        <v>85</v>
      </c>
      <c r="T7" s="649" t="s">
        <v>138</v>
      </c>
      <c r="W7" s="355"/>
    </row>
    <row r="8" spans="1:32" ht="24" customHeight="1" thickBot="1" x14ac:dyDescent="0.5">
      <c r="A8" s="659"/>
      <c r="B8" s="659"/>
      <c r="C8" s="684"/>
      <c r="D8" s="677"/>
      <c r="E8" s="650"/>
      <c r="F8" s="684"/>
      <c r="G8" s="677"/>
      <c r="H8" s="650"/>
      <c r="I8" s="684"/>
      <c r="J8" s="677"/>
      <c r="K8" s="650"/>
      <c r="L8" s="688"/>
      <c r="M8" s="677"/>
      <c r="N8" s="650"/>
      <c r="O8" s="684"/>
      <c r="P8" s="677"/>
      <c r="Q8" s="650"/>
      <c r="R8" s="691"/>
      <c r="S8" s="677"/>
      <c r="T8" s="650"/>
      <c r="Z8" s="78"/>
      <c r="AA8" s="78"/>
      <c r="AB8" s="78"/>
    </row>
    <row r="9" spans="1:32" ht="15" thickTop="1" x14ac:dyDescent="0.3"/>
    <row r="10" spans="1:32" ht="26.4" thickBot="1" x14ac:dyDescent="0.55000000000000004">
      <c r="V10" s="11"/>
      <c r="W10" s="11"/>
      <c r="X10" s="11"/>
      <c r="Y10" s="11"/>
      <c r="Z10" s="11"/>
      <c r="AA10" s="11"/>
      <c r="AB10" s="11"/>
    </row>
    <row r="11" spans="1:32" ht="27.6" thickTop="1" thickBot="1" x14ac:dyDescent="0.55000000000000004">
      <c r="A11" s="449">
        <v>1</v>
      </c>
      <c r="B11" s="363" t="s">
        <v>31</v>
      </c>
      <c r="C11" s="378" t="s">
        <v>91</v>
      </c>
      <c r="D11" s="472"/>
      <c r="E11" s="472">
        <v>8</v>
      </c>
      <c r="F11" s="408" t="s">
        <v>47</v>
      </c>
      <c r="G11" s="551"/>
      <c r="H11" s="397"/>
      <c r="I11" s="249" t="s">
        <v>12</v>
      </c>
      <c r="J11" s="585"/>
      <c r="K11" s="551"/>
      <c r="L11" s="375" t="s">
        <v>90</v>
      </c>
      <c r="M11" s="551"/>
      <c r="N11" s="409">
        <v>8</v>
      </c>
      <c r="O11" s="408" t="s">
        <v>47</v>
      </c>
      <c r="P11" s="551" t="s">
        <v>86</v>
      </c>
      <c r="Q11" s="397"/>
      <c r="R11" s="380" t="s">
        <v>92</v>
      </c>
      <c r="S11" s="551"/>
      <c r="T11" s="397">
        <v>8</v>
      </c>
      <c r="V11" s="11"/>
      <c r="W11" s="11"/>
      <c r="X11" s="11"/>
      <c r="Y11" s="11"/>
      <c r="Z11" s="11"/>
      <c r="AA11" s="11"/>
      <c r="AB11" s="11"/>
    </row>
    <row r="12" spans="1:32" ht="27.6" thickTop="1" thickBot="1" x14ac:dyDescent="0.55000000000000004">
      <c r="A12" s="451">
        <v>2</v>
      </c>
      <c r="B12" s="363" t="s">
        <v>35</v>
      </c>
      <c r="C12" s="377" t="s">
        <v>91</v>
      </c>
      <c r="D12" s="472"/>
      <c r="E12" s="472">
        <v>8</v>
      </c>
      <c r="F12" s="490" t="s">
        <v>93</v>
      </c>
      <c r="G12" s="551"/>
      <c r="H12" s="397">
        <v>8</v>
      </c>
      <c r="I12" s="249" t="s">
        <v>12</v>
      </c>
      <c r="J12" s="585"/>
      <c r="K12" s="551"/>
      <c r="L12" s="375" t="s">
        <v>90</v>
      </c>
      <c r="M12" s="292"/>
      <c r="N12" s="397">
        <v>8</v>
      </c>
      <c r="O12" s="390" t="s">
        <v>93</v>
      </c>
      <c r="P12" s="551" t="s">
        <v>86</v>
      </c>
      <c r="Q12" s="397">
        <v>8</v>
      </c>
      <c r="R12" s="381" t="s">
        <v>92</v>
      </c>
      <c r="S12" s="558"/>
      <c r="T12" s="398">
        <v>8</v>
      </c>
      <c r="V12" s="11"/>
      <c r="W12" s="11"/>
      <c r="X12" s="11"/>
      <c r="Y12" s="11"/>
      <c r="Z12" s="11"/>
      <c r="AA12" s="11"/>
      <c r="AB12" s="11"/>
    </row>
    <row r="13" spans="1:32" ht="27.6" thickTop="1" thickBot="1" x14ac:dyDescent="0.55000000000000004">
      <c r="A13" s="474">
        <v>3</v>
      </c>
      <c r="B13" s="366" t="s">
        <v>11</v>
      </c>
      <c r="C13" s="243" t="s">
        <v>12</v>
      </c>
      <c r="D13" s="475"/>
      <c r="E13" s="475"/>
      <c r="F13" s="388" t="s">
        <v>91</v>
      </c>
      <c r="G13" s="552"/>
      <c r="H13" s="399">
        <v>8</v>
      </c>
      <c r="I13" s="384" t="s">
        <v>92</v>
      </c>
      <c r="J13" s="586"/>
      <c r="K13" s="399">
        <v>8</v>
      </c>
      <c r="L13" s="382" t="s">
        <v>90</v>
      </c>
      <c r="M13" s="298"/>
      <c r="N13" s="399">
        <v>8</v>
      </c>
      <c r="O13" s="391" t="s">
        <v>93</v>
      </c>
      <c r="P13" s="552" t="s">
        <v>86</v>
      </c>
      <c r="Q13" s="399">
        <v>8</v>
      </c>
      <c r="R13" s="246" t="s">
        <v>12</v>
      </c>
      <c r="S13" s="552"/>
      <c r="T13" s="238"/>
      <c r="V13" s="11"/>
      <c r="W13" s="11"/>
      <c r="X13" s="11"/>
      <c r="Y13" s="11"/>
      <c r="Z13" s="11"/>
      <c r="AA13" s="11"/>
      <c r="AB13" s="11"/>
    </row>
    <row r="14" spans="1:32" ht="27.6" thickTop="1" thickBot="1" x14ac:dyDescent="0.55000000000000004">
      <c r="A14" s="476">
        <v>4</v>
      </c>
      <c r="B14" s="402" t="s">
        <v>19</v>
      </c>
      <c r="C14" s="421" t="s">
        <v>12</v>
      </c>
      <c r="D14" s="477"/>
      <c r="E14" s="477"/>
      <c r="F14" s="423" t="s">
        <v>91</v>
      </c>
      <c r="G14" s="574"/>
      <c r="H14" s="459">
        <v>8</v>
      </c>
      <c r="I14" s="425" t="s">
        <v>92</v>
      </c>
      <c r="J14" s="482"/>
      <c r="K14" s="427">
        <v>8</v>
      </c>
      <c r="L14" s="460" t="s">
        <v>90</v>
      </c>
      <c r="M14" s="461"/>
      <c r="N14" s="459">
        <v>8</v>
      </c>
      <c r="O14" s="421" t="s">
        <v>12</v>
      </c>
      <c r="P14" s="560" t="s">
        <v>86</v>
      </c>
      <c r="Q14" s="422"/>
      <c r="R14" s="421" t="s">
        <v>12</v>
      </c>
      <c r="S14" s="574"/>
      <c r="T14" s="462"/>
      <c r="V14" s="11"/>
      <c r="W14" s="11"/>
      <c r="X14" s="11"/>
      <c r="Y14" s="11"/>
      <c r="Z14" s="11"/>
      <c r="AA14" s="11"/>
      <c r="AB14" s="11"/>
    </row>
    <row r="15" spans="1:32" ht="27.6" thickTop="1" thickBot="1" x14ac:dyDescent="0.55000000000000004">
      <c r="A15" s="478">
        <v>5</v>
      </c>
      <c r="B15" s="403" t="s">
        <v>22</v>
      </c>
      <c r="C15" s="440" t="s">
        <v>91</v>
      </c>
      <c r="D15" s="479"/>
      <c r="E15" s="479">
        <v>8</v>
      </c>
      <c r="F15" s="431" t="s">
        <v>12</v>
      </c>
      <c r="G15" s="576"/>
      <c r="H15" s="432"/>
      <c r="I15" s="438" t="s">
        <v>92</v>
      </c>
      <c r="J15" s="483"/>
      <c r="K15" s="439">
        <v>8</v>
      </c>
      <c r="L15" s="489" t="s">
        <v>12</v>
      </c>
      <c r="M15" s="576"/>
      <c r="N15" s="576"/>
      <c r="O15" s="431" t="s">
        <v>12</v>
      </c>
      <c r="P15" s="561" t="s">
        <v>86</v>
      </c>
      <c r="Q15" s="432"/>
      <c r="R15" s="435" t="s">
        <v>90</v>
      </c>
      <c r="S15" s="436"/>
      <c r="T15" s="463">
        <v>8</v>
      </c>
      <c r="V15" s="11"/>
      <c r="W15" s="11"/>
      <c r="X15" s="11"/>
      <c r="Y15" s="11"/>
      <c r="Z15" s="11"/>
      <c r="AA15" s="11"/>
      <c r="AB15" s="11"/>
    </row>
    <row r="16" spans="1:32" ht="27.6" thickTop="1" thickBot="1" x14ac:dyDescent="0.55000000000000004">
      <c r="A16" s="453">
        <v>6</v>
      </c>
      <c r="B16" s="367" t="s">
        <v>25</v>
      </c>
      <c r="C16" s="380" t="s">
        <v>92</v>
      </c>
      <c r="D16" s="550"/>
      <c r="E16" s="397">
        <v>8</v>
      </c>
      <c r="F16" s="390" t="s">
        <v>93</v>
      </c>
      <c r="G16" s="550"/>
      <c r="H16" s="397">
        <v>8</v>
      </c>
      <c r="I16" s="249" t="s">
        <v>12</v>
      </c>
      <c r="J16" s="484"/>
      <c r="K16" s="370"/>
      <c r="L16" s="377" t="s">
        <v>91</v>
      </c>
      <c r="M16" s="550" t="s">
        <v>86</v>
      </c>
      <c r="N16" s="397">
        <v>8</v>
      </c>
      <c r="O16" s="490" t="s">
        <v>93</v>
      </c>
      <c r="P16" s="550"/>
      <c r="Q16" s="397">
        <v>8</v>
      </c>
      <c r="R16" s="577" t="s">
        <v>90</v>
      </c>
      <c r="S16" s="550"/>
      <c r="T16" s="550">
        <v>8</v>
      </c>
      <c r="V16" s="11"/>
      <c r="W16" s="11"/>
      <c r="X16" s="11"/>
      <c r="Y16" s="11"/>
      <c r="Z16" s="11"/>
      <c r="AA16" s="11"/>
      <c r="AB16" s="11"/>
    </row>
    <row r="17" spans="1:28" ht="27.6" thickTop="1" thickBot="1" x14ac:dyDescent="0.55000000000000004">
      <c r="A17" s="451">
        <v>7</v>
      </c>
      <c r="B17" s="363" t="s">
        <v>28</v>
      </c>
      <c r="C17" s="381" t="s">
        <v>92</v>
      </c>
      <c r="D17" s="551"/>
      <c r="E17" s="398">
        <v>8</v>
      </c>
      <c r="F17" s="390" t="s">
        <v>93</v>
      </c>
      <c r="G17" s="551"/>
      <c r="H17" s="397">
        <v>8</v>
      </c>
      <c r="I17" s="249" t="s">
        <v>12</v>
      </c>
      <c r="J17" s="485"/>
      <c r="K17" s="370"/>
      <c r="L17" s="378" t="s">
        <v>91</v>
      </c>
      <c r="M17" s="551" t="s">
        <v>86</v>
      </c>
      <c r="N17" s="397">
        <v>8</v>
      </c>
      <c r="O17" s="490" t="s">
        <v>93</v>
      </c>
      <c r="P17" s="551"/>
      <c r="Q17" s="397">
        <v>8</v>
      </c>
      <c r="R17" s="571" t="s">
        <v>90</v>
      </c>
      <c r="S17" s="551"/>
      <c r="T17" s="551">
        <v>8</v>
      </c>
      <c r="V17" s="11"/>
      <c r="W17" s="11"/>
      <c r="X17" s="11"/>
      <c r="Y17" s="11"/>
      <c r="Z17" s="11"/>
      <c r="AA17" s="11"/>
      <c r="AB17" s="11"/>
    </row>
    <row r="18" spans="1:28" ht="27.6" thickTop="1" thickBot="1" x14ac:dyDescent="0.55000000000000004">
      <c r="A18" s="449">
        <v>8</v>
      </c>
      <c r="B18" s="363" t="s">
        <v>31</v>
      </c>
      <c r="C18" s="380" t="s">
        <v>92</v>
      </c>
      <c r="D18" s="551"/>
      <c r="E18" s="397">
        <v>8</v>
      </c>
      <c r="F18" s="390" t="s">
        <v>93</v>
      </c>
      <c r="G18" s="551"/>
      <c r="H18" s="397">
        <v>8</v>
      </c>
      <c r="I18" s="375" t="s">
        <v>90</v>
      </c>
      <c r="J18" s="585"/>
      <c r="K18" s="397">
        <v>8</v>
      </c>
      <c r="L18" s="378" t="s">
        <v>91</v>
      </c>
      <c r="M18" s="551" t="s">
        <v>86</v>
      </c>
      <c r="N18" s="397">
        <v>8</v>
      </c>
      <c r="O18" s="490" t="s">
        <v>93</v>
      </c>
      <c r="P18" s="551"/>
      <c r="Q18" s="397">
        <v>8</v>
      </c>
      <c r="R18" s="249" t="s">
        <v>12</v>
      </c>
      <c r="S18" s="551"/>
      <c r="T18" s="551"/>
      <c r="V18" s="11"/>
      <c r="W18" s="11"/>
      <c r="X18" s="11"/>
      <c r="Y18" s="11"/>
      <c r="Z18" s="11"/>
      <c r="AA18" s="11"/>
      <c r="AB18" s="11"/>
    </row>
    <row r="19" spans="1:28" ht="27.6" thickTop="1" thickBot="1" x14ac:dyDescent="0.55000000000000004">
      <c r="A19" s="451">
        <v>9</v>
      </c>
      <c r="B19" s="363" t="s">
        <v>35</v>
      </c>
      <c r="C19" s="381" t="s">
        <v>92</v>
      </c>
      <c r="D19" s="558"/>
      <c r="E19" s="398">
        <v>8</v>
      </c>
      <c r="F19" s="390" t="s">
        <v>93</v>
      </c>
      <c r="G19" s="551"/>
      <c r="H19" s="397">
        <v>8</v>
      </c>
      <c r="I19" s="375" t="s">
        <v>90</v>
      </c>
      <c r="J19" s="486"/>
      <c r="K19" s="397">
        <v>8</v>
      </c>
      <c r="L19" s="377" t="s">
        <v>91</v>
      </c>
      <c r="M19" s="551" t="s">
        <v>86</v>
      </c>
      <c r="N19" s="397">
        <v>8</v>
      </c>
      <c r="O19" s="490" t="s">
        <v>93</v>
      </c>
      <c r="P19" s="551"/>
      <c r="Q19" s="397">
        <v>8</v>
      </c>
      <c r="R19" s="249" t="s">
        <v>12</v>
      </c>
      <c r="S19" s="551"/>
      <c r="T19" s="551"/>
      <c r="V19" s="11"/>
      <c r="W19" s="11"/>
      <c r="X19" s="11"/>
      <c r="Y19" s="11"/>
      <c r="Z19" s="11"/>
      <c r="AA19" s="11"/>
      <c r="AB19" s="11"/>
    </row>
    <row r="20" spans="1:28" ht="27.6" thickTop="1" thickBot="1" x14ac:dyDescent="0.55000000000000004">
      <c r="A20" s="457">
        <v>10</v>
      </c>
      <c r="B20" s="366" t="s">
        <v>11</v>
      </c>
      <c r="C20" s="246" t="s">
        <v>12</v>
      </c>
      <c r="D20" s="552"/>
      <c r="E20" s="238"/>
      <c r="F20" s="391" t="s">
        <v>93</v>
      </c>
      <c r="G20" s="552"/>
      <c r="H20" s="399">
        <v>8</v>
      </c>
      <c r="I20" s="382" t="s">
        <v>90</v>
      </c>
      <c r="J20" s="587"/>
      <c r="K20" s="399">
        <v>8</v>
      </c>
      <c r="L20" s="243" t="s">
        <v>12</v>
      </c>
      <c r="M20" s="552" t="s">
        <v>86</v>
      </c>
      <c r="N20" s="399">
        <v>8</v>
      </c>
      <c r="O20" s="388" t="s">
        <v>91</v>
      </c>
      <c r="P20" s="552"/>
      <c r="Q20" s="399">
        <v>8</v>
      </c>
      <c r="R20" s="384" t="s">
        <v>92</v>
      </c>
      <c r="S20" s="572"/>
      <c r="T20" s="399">
        <v>8</v>
      </c>
      <c r="V20" s="11"/>
      <c r="W20" s="11"/>
      <c r="X20" s="11"/>
      <c r="Y20" s="10"/>
    </row>
    <row r="21" spans="1:28" ht="27" thickTop="1" thickBot="1" x14ac:dyDescent="0.45">
      <c r="A21" s="480">
        <v>11</v>
      </c>
      <c r="B21" s="402" t="s">
        <v>19</v>
      </c>
      <c r="C21" s="421" t="s">
        <v>12</v>
      </c>
      <c r="D21" s="574"/>
      <c r="E21" s="422"/>
      <c r="F21" s="421" t="s">
        <v>12</v>
      </c>
      <c r="G21" s="574"/>
      <c r="H21" s="422"/>
      <c r="I21" s="460" t="s">
        <v>90</v>
      </c>
      <c r="J21" s="487"/>
      <c r="K21" s="459">
        <v>8</v>
      </c>
      <c r="L21" s="421" t="s">
        <v>12</v>
      </c>
      <c r="M21" s="560" t="s">
        <v>86</v>
      </c>
      <c r="N21" s="459"/>
      <c r="O21" s="423" t="s">
        <v>91</v>
      </c>
      <c r="P21" s="574"/>
      <c r="Q21" s="459">
        <v>8</v>
      </c>
      <c r="R21" s="425" t="s">
        <v>92</v>
      </c>
      <c r="S21" s="426"/>
      <c r="T21" s="464">
        <v>8</v>
      </c>
    </row>
    <row r="22" spans="1:28" ht="27.6" thickTop="1" thickBot="1" x14ac:dyDescent="0.55000000000000004">
      <c r="A22" s="478">
        <v>12</v>
      </c>
      <c r="B22" s="403" t="s">
        <v>22</v>
      </c>
      <c r="C22" s="435" t="s">
        <v>90</v>
      </c>
      <c r="D22" s="436"/>
      <c r="E22" s="437">
        <v>8</v>
      </c>
      <c r="F22" s="431" t="s">
        <v>12</v>
      </c>
      <c r="G22" s="576"/>
      <c r="H22" s="432"/>
      <c r="I22" s="455" t="s">
        <v>12</v>
      </c>
      <c r="J22" s="588"/>
      <c r="K22" s="576"/>
      <c r="L22" s="440" t="s">
        <v>91</v>
      </c>
      <c r="M22" s="561" t="s">
        <v>86</v>
      </c>
      <c r="N22" s="439">
        <v>8</v>
      </c>
      <c r="O22" s="431" t="s">
        <v>12</v>
      </c>
      <c r="P22" s="576"/>
      <c r="Q22" s="432"/>
      <c r="R22" s="438" t="s">
        <v>92</v>
      </c>
      <c r="S22" s="436"/>
      <c r="T22" s="441">
        <v>8</v>
      </c>
      <c r="W22" s="374"/>
      <c r="X22" s="374"/>
      <c r="Y22" s="10"/>
    </row>
    <row r="23" spans="1:28" ht="27.6" thickTop="1" thickBot="1" x14ac:dyDescent="0.55000000000000004">
      <c r="A23" s="453">
        <v>13</v>
      </c>
      <c r="B23" s="367" t="s">
        <v>25</v>
      </c>
      <c r="C23" s="577" t="s">
        <v>90</v>
      </c>
      <c r="D23" s="550"/>
      <c r="E23" s="550">
        <v>8</v>
      </c>
      <c r="F23" s="490" t="s">
        <v>93</v>
      </c>
      <c r="G23" s="550" t="s">
        <v>86</v>
      </c>
      <c r="H23" s="397">
        <v>8</v>
      </c>
      <c r="I23" s="377" t="s">
        <v>91</v>
      </c>
      <c r="J23" s="589"/>
      <c r="K23" s="397">
        <v>8</v>
      </c>
      <c r="L23" s="380" t="s">
        <v>92</v>
      </c>
      <c r="M23" s="550"/>
      <c r="N23" s="397">
        <v>8</v>
      </c>
      <c r="O23" s="390" t="s">
        <v>93</v>
      </c>
      <c r="P23" s="550"/>
      <c r="Q23" s="397">
        <v>8</v>
      </c>
      <c r="R23" s="249" t="s">
        <v>12</v>
      </c>
      <c r="S23" s="289"/>
      <c r="T23" s="370"/>
      <c r="W23" s="11"/>
      <c r="X23" s="11"/>
      <c r="Y23" s="10"/>
    </row>
    <row r="24" spans="1:28" ht="27.6" thickTop="1" thickBot="1" x14ac:dyDescent="0.55000000000000004">
      <c r="A24" s="451">
        <v>14</v>
      </c>
      <c r="B24" s="363" t="s">
        <v>28</v>
      </c>
      <c r="C24" s="571" t="s">
        <v>90</v>
      </c>
      <c r="D24" s="551"/>
      <c r="E24" s="551">
        <v>8</v>
      </c>
      <c r="F24" s="490" t="s">
        <v>93</v>
      </c>
      <c r="G24" s="551" t="s">
        <v>86</v>
      </c>
      <c r="H24" s="397">
        <v>8</v>
      </c>
      <c r="I24" s="378" t="s">
        <v>91</v>
      </c>
      <c r="J24" s="590"/>
      <c r="K24" s="397">
        <v>8</v>
      </c>
      <c r="L24" s="381" t="s">
        <v>92</v>
      </c>
      <c r="M24" s="551"/>
      <c r="N24" s="398">
        <v>8</v>
      </c>
      <c r="O24" s="390" t="s">
        <v>93</v>
      </c>
      <c r="P24" s="551"/>
      <c r="Q24" s="397">
        <v>8</v>
      </c>
      <c r="R24" s="249" t="s">
        <v>12</v>
      </c>
      <c r="S24" s="286"/>
      <c r="T24" s="370"/>
      <c r="W24" s="11"/>
      <c r="X24" s="11"/>
      <c r="Y24" s="10"/>
    </row>
    <row r="25" spans="1:28" ht="27.6" thickTop="1" thickBot="1" x14ac:dyDescent="0.55000000000000004">
      <c r="A25" s="451">
        <v>15</v>
      </c>
      <c r="B25" s="363" t="s">
        <v>31</v>
      </c>
      <c r="C25" s="249" t="s">
        <v>12</v>
      </c>
      <c r="D25" s="551"/>
      <c r="E25" s="551"/>
      <c r="F25" s="490" t="s">
        <v>93</v>
      </c>
      <c r="G25" s="551" t="s">
        <v>86</v>
      </c>
      <c r="H25" s="397">
        <v>8</v>
      </c>
      <c r="I25" s="378" t="s">
        <v>91</v>
      </c>
      <c r="J25" s="488"/>
      <c r="K25" s="397">
        <v>8</v>
      </c>
      <c r="L25" s="380" t="s">
        <v>92</v>
      </c>
      <c r="M25" s="551"/>
      <c r="N25" s="397">
        <v>8</v>
      </c>
      <c r="O25" s="390" t="s">
        <v>93</v>
      </c>
      <c r="P25" s="551"/>
      <c r="Q25" s="397">
        <v>8</v>
      </c>
      <c r="R25" s="375" t="s">
        <v>90</v>
      </c>
      <c r="S25" s="551"/>
      <c r="T25" s="397">
        <v>8</v>
      </c>
      <c r="W25" s="11"/>
      <c r="X25" s="11"/>
      <c r="Y25" s="10"/>
    </row>
    <row r="26" spans="1:28" ht="27.6" thickTop="1" thickBot="1" x14ac:dyDescent="0.55000000000000004">
      <c r="A26" s="451">
        <v>16</v>
      </c>
      <c r="B26" s="363" t="s">
        <v>35</v>
      </c>
      <c r="C26" s="249" t="s">
        <v>12</v>
      </c>
      <c r="D26" s="551"/>
      <c r="E26" s="551"/>
      <c r="F26" s="490" t="s">
        <v>93</v>
      </c>
      <c r="G26" s="551" t="s">
        <v>86</v>
      </c>
      <c r="H26" s="397">
        <v>8</v>
      </c>
      <c r="I26" s="377" t="s">
        <v>91</v>
      </c>
      <c r="J26" s="590"/>
      <c r="K26" s="397">
        <v>8</v>
      </c>
      <c r="L26" s="381" t="s">
        <v>92</v>
      </c>
      <c r="M26" s="558"/>
      <c r="N26" s="398">
        <v>8</v>
      </c>
      <c r="O26" s="390" t="s">
        <v>93</v>
      </c>
      <c r="P26" s="551"/>
      <c r="Q26" s="397">
        <v>8</v>
      </c>
      <c r="R26" s="375" t="s">
        <v>90</v>
      </c>
      <c r="S26" s="292"/>
      <c r="T26" s="397">
        <v>8</v>
      </c>
      <c r="W26" s="11"/>
      <c r="X26" s="14"/>
      <c r="Y26" s="10"/>
    </row>
    <row r="27" spans="1:28" ht="27.6" thickTop="1" thickBot="1" x14ac:dyDescent="0.55000000000000004">
      <c r="A27" s="474">
        <v>17</v>
      </c>
      <c r="B27" s="366" t="s">
        <v>11</v>
      </c>
      <c r="C27" s="384" t="s">
        <v>92</v>
      </c>
      <c r="D27" s="572"/>
      <c r="E27" s="399">
        <v>8</v>
      </c>
      <c r="F27" s="388" t="s">
        <v>91</v>
      </c>
      <c r="G27" s="552" t="s">
        <v>86</v>
      </c>
      <c r="H27" s="399">
        <v>8</v>
      </c>
      <c r="I27" s="243" t="s">
        <v>12</v>
      </c>
      <c r="J27" s="591"/>
      <c r="K27" s="399">
        <v>8</v>
      </c>
      <c r="L27" s="246" t="s">
        <v>12</v>
      </c>
      <c r="M27" s="552"/>
      <c r="N27" s="238"/>
      <c r="O27" s="391" t="s">
        <v>93</v>
      </c>
      <c r="P27" s="552"/>
      <c r="Q27" s="399">
        <v>8</v>
      </c>
      <c r="R27" s="382" t="s">
        <v>90</v>
      </c>
      <c r="S27" s="298"/>
      <c r="T27" s="399">
        <v>8</v>
      </c>
      <c r="W27" s="11"/>
      <c r="X27" s="11"/>
      <c r="Y27" s="10"/>
    </row>
    <row r="28" spans="1:28" ht="27.6" thickTop="1" thickBot="1" x14ac:dyDescent="0.55000000000000004">
      <c r="A28" s="476">
        <v>18</v>
      </c>
      <c r="B28" s="402" t="s">
        <v>19</v>
      </c>
      <c r="C28" s="425" t="s">
        <v>92</v>
      </c>
      <c r="D28" s="426"/>
      <c r="E28" s="427">
        <v>8</v>
      </c>
      <c r="F28" s="423" t="s">
        <v>91</v>
      </c>
      <c r="G28" s="560" t="s">
        <v>86</v>
      </c>
      <c r="H28" s="459">
        <v>8</v>
      </c>
      <c r="I28" s="421" t="s">
        <v>12</v>
      </c>
      <c r="J28" s="592"/>
      <c r="K28" s="459"/>
      <c r="L28" s="421" t="s">
        <v>12</v>
      </c>
      <c r="M28" s="574"/>
      <c r="N28" s="422"/>
      <c r="O28" s="421" t="s">
        <v>12</v>
      </c>
      <c r="P28" s="574"/>
      <c r="Q28" s="422"/>
      <c r="R28" s="460" t="s">
        <v>90</v>
      </c>
      <c r="S28" s="461"/>
      <c r="T28" s="466">
        <v>8</v>
      </c>
      <c r="W28" s="11"/>
      <c r="X28" s="11"/>
      <c r="Y28" s="10"/>
    </row>
    <row r="29" spans="1:28" ht="27.6" thickTop="1" thickBot="1" x14ac:dyDescent="0.55000000000000004">
      <c r="A29" s="478">
        <v>19</v>
      </c>
      <c r="B29" s="403" t="s">
        <v>22</v>
      </c>
      <c r="C29" s="438" t="s">
        <v>92</v>
      </c>
      <c r="D29" s="436"/>
      <c r="E29" s="439">
        <v>8</v>
      </c>
      <c r="F29" s="431" t="s">
        <v>12</v>
      </c>
      <c r="G29" s="561" t="s">
        <v>86</v>
      </c>
      <c r="H29" s="432"/>
      <c r="I29" s="440" t="s">
        <v>91</v>
      </c>
      <c r="J29" s="593"/>
      <c r="K29" s="439">
        <v>8</v>
      </c>
      <c r="L29" s="435" t="s">
        <v>90</v>
      </c>
      <c r="M29" s="436"/>
      <c r="N29" s="437">
        <v>8</v>
      </c>
      <c r="O29" s="431" t="s">
        <v>12</v>
      </c>
      <c r="P29" s="576"/>
      <c r="Q29" s="432"/>
      <c r="R29" s="455" t="s">
        <v>12</v>
      </c>
      <c r="S29" s="576"/>
      <c r="T29" s="583"/>
      <c r="W29" s="11"/>
      <c r="X29" s="11"/>
      <c r="Y29" s="10"/>
    </row>
    <row r="30" spans="1:28" ht="27.6" thickTop="1" thickBot="1" x14ac:dyDescent="0.55000000000000004">
      <c r="A30" s="453">
        <v>20</v>
      </c>
      <c r="B30" s="367" t="s">
        <v>25</v>
      </c>
      <c r="C30" s="249" t="s">
        <v>12</v>
      </c>
      <c r="D30" s="289"/>
      <c r="E30" s="370"/>
      <c r="F30" s="390" t="s">
        <v>93</v>
      </c>
      <c r="G30" s="550"/>
      <c r="H30" s="397">
        <v>8</v>
      </c>
      <c r="I30" s="380" t="s">
        <v>92</v>
      </c>
      <c r="J30" s="594"/>
      <c r="K30" s="397">
        <v>8</v>
      </c>
      <c r="L30" s="595" t="s">
        <v>90</v>
      </c>
      <c r="M30" s="550"/>
      <c r="N30" s="550">
        <v>8</v>
      </c>
      <c r="O30" s="377" t="s">
        <v>91</v>
      </c>
      <c r="P30" s="578"/>
      <c r="Q30" s="397">
        <v>8</v>
      </c>
      <c r="R30" s="490" t="s">
        <v>93</v>
      </c>
      <c r="S30" s="550" t="s">
        <v>86</v>
      </c>
      <c r="T30" s="397">
        <v>8</v>
      </c>
      <c r="W30" s="11"/>
      <c r="X30" s="11"/>
      <c r="Y30" s="10"/>
      <c r="Z30" s="10"/>
    </row>
    <row r="31" spans="1:28" ht="27.6" thickTop="1" thickBot="1" x14ac:dyDescent="0.55000000000000004">
      <c r="A31" s="451">
        <v>21</v>
      </c>
      <c r="B31" s="363" t="s">
        <v>28</v>
      </c>
      <c r="C31" s="249" t="s">
        <v>12</v>
      </c>
      <c r="D31" s="286"/>
      <c r="E31" s="370"/>
      <c r="F31" s="390" t="s">
        <v>93</v>
      </c>
      <c r="G31" s="551"/>
      <c r="H31" s="397">
        <v>8</v>
      </c>
      <c r="I31" s="381" t="s">
        <v>92</v>
      </c>
      <c r="J31" s="585"/>
      <c r="K31" s="398">
        <v>8</v>
      </c>
      <c r="L31" s="596" t="s">
        <v>90</v>
      </c>
      <c r="M31" s="551"/>
      <c r="N31" s="551">
        <v>8</v>
      </c>
      <c r="O31" s="378" t="s">
        <v>91</v>
      </c>
      <c r="P31" s="579"/>
      <c r="Q31" s="397">
        <v>8</v>
      </c>
      <c r="R31" s="490" t="s">
        <v>93</v>
      </c>
      <c r="S31" s="551" t="s">
        <v>86</v>
      </c>
      <c r="T31" s="397">
        <v>8</v>
      </c>
      <c r="W31" s="11"/>
      <c r="X31" s="11"/>
      <c r="Y31" s="10"/>
      <c r="Z31" s="10"/>
    </row>
    <row r="32" spans="1:28" ht="27.6" thickTop="1" thickBot="1" x14ac:dyDescent="0.55000000000000004">
      <c r="A32" s="449">
        <v>22</v>
      </c>
      <c r="B32" s="363" t="s">
        <v>31</v>
      </c>
      <c r="C32" s="375" t="s">
        <v>90</v>
      </c>
      <c r="D32" s="551"/>
      <c r="E32" s="397">
        <v>8</v>
      </c>
      <c r="F32" s="390" t="s">
        <v>93</v>
      </c>
      <c r="G32" s="551"/>
      <c r="H32" s="397">
        <v>8</v>
      </c>
      <c r="I32" s="380" t="s">
        <v>92</v>
      </c>
      <c r="J32" s="585"/>
      <c r="K32" s="397">
        <v>8</v>
      </c>
      <c r="L32" s="249" t="s">
        <v>12</v>
      </c>
      <c r="M32" s="551"/>
      <c r="N32" s="551"/>
      <c r="O32" s="378" t="s">
        <v>91</v>
      </c>
      <c r="P32" s="452"/>
      <c r="Q32" s="397">
        <v>8</v>
      </c>
      <c r="R32" s="490" t="s">
        <v>93</v>
      </c>
      <c r="S32" s="551" t="s">
        <v>86</v>
      </c>
      <c r="T32" s="397">
        <v>8</v>
      </c>
      <c r="W32" s="11"/>
      <c r="X32" s="11"/>
      <c r="Y32" s="10"/>
      <c r="Z32" s="10"/>
    </row>
    <row r="33" spans="1:26" ht="27.6" thickTop="1" thickBot="1" x14ac:dyDescent="0.55000000000000004">
      <c r="A33" s="451">
        <v>23</v>
      </c>
      <c r="B33" s="363" t="s">
        <v>35</v>
      </c>
      <c r="C33" s="375" t="s">
        <v>90</v>
      </c>
      <c r="D33" s="292"/>
      <c r="E33" s="397">
        <v>8</v>
      </c>
      <c r="F33" s="390" t="s">
        <v>93</v>
      </c>
      <c r="G33" s="551"/>
      <c r="H33" s="397">
        <v>8</v>
      </c>
      <c r="I33" s="381" t="s">
        <v>92</v>
      </c>
      <c r="J33" s="597"/>
      <c r="K33" s="398">
        <v>8</v>
      </c>
      <c r="L33" s="249" t="s">
        <v>12</v>
      </c>
      <c r="M33" s="551"/>
      <c r="N33" s="551"/>
      <c r="O33" s="377" t="s">
        <v>91</v>
      </c>
      <c r="P33" s="579"/>
      <c r="Q33" s="397">
        <v>8</v>
      </c>
      <c r="R33" s="490" t="s">
        <v>93</v>
      </c>
      <c r="S33" s="551" t="s">
        <v>86</v>
      </c>
      <c r="T33" s="397">
        <v>8</v>
      </c>
      <c r="W33" s="11"/>
      <c r="X33" s="11"/>
      <c r="Y33" s="10"/>
      <c r="Z33" s="10"/>
    </row>
    <row r="34" spans="1:26" ht="27.6" thickTop="1" thickBot="1" x14ac:dyDescent="0.55000000000000004">
      <c r="A34" s="457">
        <v>24</v>
      </c>
      <c r="B34" s="366" t="s">
        <v>11</v>
      </c>
      <c r="C34" s="382" t="s">
        <v>90</v>
      </c>
      <c r="D34" s="298"/>
      <c r="E34" s="399">
        <v>8</v>
      </c>
      <c r="F34" s="391" t="s">
        <v>93</v>
      </c>
      <c r="G34" s="552"/>
      <c r="H34" s="399">
        <v>8</v>
      </c>
      <c r="I34" s="246" t="s">
        <v>12</v>
      </c>
      <c r="J34" s="598"/>
      <c r="K34" s="238"/>
      <c r="L34" s="384" t="s">
        <v>92</v>
      </c>
      <c r="M34" s="572"/>
      <c r="N34" s="399">
        <v>8</v>
      </c>
      <c r="O34" s="243" t="s">
        <v>12</v>
      </c>
      <c r="P34" s="580"/>
      <c r="Q34" s="399">
        <v>8</v>
      </c>
      <c r="R34" s="388" t="s">
        <v>91</v>
      </c>
      <c r="S34" s="552" t="s">
        <v>86</v>
      </c>
      <c r="T34" s="399">
        <v>8</v>
      </c>
      <c r="W34" s="11"/>
      <c r="X34" s="14"/>
      <c r="Y34" s="10"/>
      <c r="Z34" s="10"/>
    </row>
    <row r="35" spans="1:26" ht="27.6" thickTop="1" thickBot="1" x14ac:dyDescent="0.55000000000000004">
      <c r="A35" s="480">
        <v>25</v>
      </c>
      <c r="B35" s="402" t="s">
        <v>19</v>
      </c>
      <c r="C35" s="460" t="s">
        <v>90</v>
      </c>
      <c r="D35" s="461"/>
      <c r="E35" s="459">
        <v>8</v>
      </c>
      <c r="F35" s="421" t="s">
        <v>12</v>
      </c>
      <c r="G35" s="574"/>
      <c r="H35" s="422"/>
      <c r="I35" s="421" t="s">
        <v>12</v>
      </c>
      <c r="J35" s="599"/>
      <c r="K35" s="422"/>
      <c r="L35" s="425" t="s">
        <v>92</v>
      </c>
      <c r="M35" s="426"/>
      <c r="N35" s="427">
        <v>8</v>
      </c>
      <c r="O35" s="421" t="s">
        <v>12</v>
      </c>
      <c r="P35" s="581"/>
      <c r="Q35" s="459"/>
      <c r="R35" s="423" t="s">
        <v>91</v>
      </c>
      <c r="S35" s="560" t="s">
        <v>86</v>
      </c>
      <c r="T35" s="466">
        <v>8</v>
      </c>
      <c r="W35" s="11"/>
      <c r="X35" s="11"/>
      <c r="Y35" s="10"/>
      <c r="Z35" s="10"/>
    </row>
    <row r="36" spans="1:26" ht="27.6" thickTop="1" thickBot="1" x14ac:dyDescent="0.55000000000000004">
      <c r="A36" s="478">
        <v>26</v>
      </c>
      <c r="B36" s="403" t="s">
        <v>22</v>
      </c>
      <c r="C36" s="455" t="s">
        <v>12</v>
      </c>
      <c r="D36" s="576"/>
      <c r="E36" s="576"/>
      <c r="F36" s="431" t="s">
        <v>12</v>
      </c>
      <c r="G36" s="576"/>
      <c r="H36" s="432"/>
      <c r="I36" s="435" t="s">
        <v>90</v>
      </c>
      <c r="J36" s="483"/>
      <c r="K36" s="437">
        <v>8</v>
      </c>
      <c r="L36" s="438" t="s">
        <v>92</v>
      </c>
      <c r="M36" s="436"/>
      <c r="N36" s="439">
        <v>8</v>
      </c>
      <c r="O36" s="440" t="s">
        <v>91</v>
      </c>
      <c r="P36" s="582"/>
      <c r="Q36" s="439">
        <v>8</v>
      </c>
      <c r="R36" s="431" t="s">
        <v>12</v>
      </c>
      <c r="S36" s="561" t="s">
        <v>86</v>
      </c>
      <c r="T36" s="481"/>
      <c r="W36" s="11"/>
      <c r="X36" s="11"/>
      <c r="Y36" s="10"/>
      <c r="Z36" s="10"/>
    </row>
    <row r="37" spans="1:26" ht="27.6" thickTop="1" thickBot="1" x14ac:dyDescent="0.55000000000000004">
      <c r="A37" s="453">
        <v>27</v>
      </c>
      <c r="B37" s="367" t="s">
        <v>25</v>
      </c>
      <c r="C37" s="377" t="s">
        <v>91</v>
      </c>
      <c r="D37" s="550" t="s">
        <v>86</v>
      </c>
      <c r="E37" s="397">
        <v>8</v>
      </c>
      <c r="F37" s="490" t="s">
        <v>93</v>
      </c>
      <c r="G37" s="550"/>
      <c r="H37" s="397">
        <v>8</v>
      </c>
      <c r="I37" s="577" t="s">
        <v>90</v>
      </c>
      <c r="J37" s="594"/>
      <c r="K37" s="550">
        <v>8</v>
      </c>
      <c r="L37" s="249" t="s">
        <v>12</v>
      </c>
      <c r="M37" s="289"/>
      <c r="N37" s="370"/>
      <c r="O37" s="380" t="s">
        <v>92</v>
      </c>
      <c r="P37" s="550"/>
      <c r="Q37" s="397">
        <v>8</v>
      </c>
      <c r="R37" s="390" t="s">
        <v>93</v>
      </c>
      <c r="S37" s="550"/>
      <c r="T37" s="397">
        <v>8</v>
      </c>
      <c r="W37" s="11"/>
      <c r="X37" s="11"/>
      <c r="Y37" s="10"/>
      <c r="Z37" s="10"/>
    </row>
    <row r="38" spans="1:26" ht="27.6" thickTop="1" thickBot="1" x14ac:dyDescent="0.55000000000000004">
      <c r="A38" s="451">
        <v>28</v>
      </c>
      <c r="B38" s="363" t="s">
        <v>28</v>
      </c>
      <c r="C38" s="378" t="s">
        <v>91</v>
      </c>
      <c r="D38" s="551" t="s">
        <v>86</v>
      </c>
      <c r="E38" s="397">
        <v>8</v>
      </c>
      <c r="F38" s="490" t="s">
        <v>93</v>
      </c>
      <c r="G38" s="551"/>
      <c r="H38" s="397">
        <v>8</v>
      </c>
      <c r="I38" s="571" t="s">
        <v>90</v>
      </c>
      <c r="J38" s="585"/>
      <c r="K38" s="551">
        <v>8</v>
      </c>
      <c r="L38" s="249" t="s">
        <v>12</v>
      </c>
      <c r="M38" s="286"/>
      <c r="N38" s="370"/>
      <c r="O38" s="381" t="s">
        <v>92</v>
      </c>
      <c r="P38" s="551"/>
      <c r="Q38" s="398">
        <v>8</v>
      </c>
      <c r="R38" s="390" t="s">
        <v>93</v>
      </c>
      <c r="S38" s="551"/>
      <c r="T38" s="397">
        <v>8</v>
      </c>
      <c r="W38" s="11"/>
      <c r="X38" s="11"/>
      <c r="Y38" s="10"/>
      <c r="Z38" s="10"/>
    </row>
    <row r="39" spans="1:26" ht="27.6" thickTop="1" thickBot="1" x14ac:dyDescent="0.55000000000000004">
      <c r="A39" s="449">
        <v>29</v>
      </c>
      <c r="B39" s="363" t="s">
        <v>31</v>
      </c>
      <c r="C39" s="378" t="s">
        <v>91</v>
      </c>
      <c r="D39" s="551" t="s">
        <v>86</v>
      </c>
      <c r="E39" s="397">
        <v>8</v>
      </c>
      <c r="F39" s="490" t="s">
        <v>93</v>
      </c>
      <c r="G39" s="551"/>
      <c r="H39" s="397">
        <v>8</v>
      </c>
      <c r="I39" s="249" t="s">
        <v>12</v>
      </c>
      <c r="J39" s="585"/>
      <c r="K39" s="551"/>
      <c r="L39" s="375" t="s">
        <v>90</v>
      </c>
      <c r="M39" s="551"/>
      <c r="N39" s="397">
        <v>8</v>
      </c>
      <c r="O39" s="380" t="s">
        <v>92</v>
      </c>
      <c r="P39" s="551"/>
      <c r="Q39" s="397">
        <v>8</v>
      </c>
      <c r="R39" s="390" t="s">
        <v>93</v>
      </c>
      <c r="S39" s="551"/>
      <c r="T39" s="397">
        <v>8</v>
      </c>
      <c r="W39" s="11"/>
      <c r="X39" s="11"/>
      <c r="Y39" s="10"/>
      <c r="Z39" s="10"/>
    </row>
    <row r="40" spans="1:26" ht="27.6" thickTop="1" thickBot="1" x14ac:dyDescent="0.55000000000000004">
      <c r="A40" s="451">
        <v>30</v>
      </c>
      <c r="B40" s="363" t="s">
        <v>35</v>
      </c>
      <c r="C40" s="377" t="s">
        <v>91</v>
      </c>
      <c r="D40" s="551" t="s">
        <v>86</v>
      </c>
      <c r="E40" s="397">
        <v>8</v>
      </c>
      <c r="F40" s="490" t="s">
        <v>93</v>
      </c>
      <c r="G40" s="551"/>
      <c r="H40" s="397">
        <v>8</v>
      </c>
      <c r="I40" s="249" t="s">
        <v>12</v>
      </c>
      <c r="J40" s="585"/>
      <c r="K40" s="551"/>
      <c r="L40" s="375" t="s">
        <v>90</v>
      </c>
      <c r="M40" s="292"/>
      <c r="N40" s="397">
        <v>8</v>
      </c>
      <c r="O40" s="381" t="s">
        <v>92</v>
      </c>
      <c r="P40" s="558"/>
      <c r="Q40" s="398">
        <v>8</v>
      </c>
      <c r="R40" s="390" t="s">
        <v>93</v>
      </c>
      <c r="S40" s="551"/>
      <c r="T40" s="397">
        <v>8</v>
      </c>
      <c r="X40" s="14"/>
      <c r="Y40" s="10"/>
      <c r="Z40" s="10"/>
    </row>
    <row r="41" spans="1:26" ht="27.6" hidden="1" thickTop="1" thickBot="1" x14ac:dyDescent="0.55000000000000004">
      <c r="A41" s="453">
        <v>31</v>
      </c>
      <c r="B41" s="473"/>
      <c r="C41" s="468"/>
      <c r="D41" s="471"/>
      <c r="E41" s="397"/>
      <c r="F41" s="469"/>
      <c r="G41" s="600"/>
      <c r="H41" s="397"/>
      <c r="I41" s="601"/>
      <c r="J41" s="600"/>
      <c r="K41" s="600"/>
      <c r="L41" s="470"/>
      <c r="M41" s="602"/>
      <c r="N41" s="471"/>
      <c r="O41" s="469"/>
      <c r="P41" s="600"/>
      <c r="Q41" s="397"/>
      <c r="R41" s="468"/>
      <c r="S41" s="600"/>
      <c r="T41" s="397"/>
      <c r="X41" s="11"/>
      <c r="Y41" s="10"/>
    </row>
    <row r="42" spans="1:26" ht="28.8" thickTop="1" thickBot="1" x14ac:dyDescent="0.55000000000000004">
      <c r="E42" s="12">
        <f>SUM(E12:E41)</f>
        <v>160</v>
      </c>
      <c r="H42" s="12">
        <f>SUM(H11:H41)</f>
        <v>184</v>
      </c>
      <c r="K42" s="12">
        <f>SUM(K11:K41)</f>
        <v>160</v>
      </c>
      <c r="N42" s="12">
        <f>SUM(N11:N41)</f>
        <v>176</v>
      </c>
      <c r="Q42" s="12">
        <f>SUM(Q11:Q41)</f>
        <v>184</v>
      </c>
      <c r="T42" s="12">
        <f>SUM(T11:T41)</f>
        <v>176</v>
      </c>
      <c r="X42" s="11"/>
      <c r="Y42" s="10"/>
    </row>
    <row r="43" spans="1:26" ht="26.4" thickTop="1" x14ac:dyDescent="0.5">
      <c r="X43" s="11"/>
      <c r="Y43" s="10"/>
    </row>
    <row r="44" spans="1:26" ht="25.8" x14ac:dyDescent="0.5">
      <c r="X44" s="11"/>
      <c r="Y44" s="10"/>
    </row>
    <row r="45" spans="1:26" ht="25.8" x14ac:dyDescent="0.5">
      <c r="X45" s="11"/>
      <c r="Y45" s="10"/>
    </row>
    <row r="46" spans="1:26" ht="36.6" x14ac:dyDescent="0.5">
      <c r="B46" s="674" t="s">
        <v>97</v>
      </c>
      <c r="C46" s="358" t="s">
        <v>32</v>
      </c>
      <c r="D46" s="358"/>
      <c r="E46" s="358">
        <f>COUNTIF(C11:C41,"FERIE")*8</f>
        <v>0</v>
      </c>
      <c r="F46" s="358" t="s">
        <v>32</v>
      </c>
      <c r="G46" s="358"/>
      <c r="H46" s="358">
        <f>COUNTIF(F11:F41,"FERIE")*8</f>
        <v>0</v>
      </c>
      <c r="I46" s="358" t="s">
        <v>32</v>
      </c>
      <c r="J46" s="360"/>
      <c r="K46" s="358">
        <f>COUNTIF(I11:I41,"FERIE")*8</f>
        <v>0</v>
      </c>
      <c r="L46" s="358" t="s">
        <v>32</v>
      </c>
      <c r="M46" s="358"/>
      <c r="N46" s="358">
        <f>COUNTIF(L11:L41,"FERIE")*8</f>
        <v>0</v>
      </c>
      <c r="O46" s="358" t="s">
        <v>32</v>
      </c>
      <c r="P46" s="358"/>
      <c r="Q46" s="358">
        <f>COUNTIF(O11:O41,"FERIE")*8</f>
        <v>0</v>
      </c>
      <c r="R46" s="358" t="s">
        <v>32</v>
      </c>
      <c r="S46" s="358"/>
      <c r="T46" s="358">
        <f>COUNTIF(R11:R41,"FERIE")*8</f>
        <v>0</v>
      </c>
      <c r="X46" s="11"/>
      <c r="Y46" s="10"/>
    </row>
    <row r="47" spans="1:26" ht="36.6" x14ac:dyDescent="0.5">
      <c r="B47" s="675"/>
      <c r="C47" s="358" t="s">
        <v>55</v>
      </c>
      <c r="D47" s="358"/>
      <c r="E47" s="358">
        <f>COUNTIF(C11:C41,"riposo")</f>
        <v>9</v>
      </c>
      <c r="F47" s="358" t="s">
        <v>55</v>
      </c>
      <c r="G47" s="358"/>
      <c r="H47" s="358">
        <f>COUNTIF(F11:F41,"riposo")</f>
        <v>6</v>
      </c>
      <c r="I47" s="358" t="s">
        <v>55</v>
      </c>
      <c r="J47" s="360"/>
      <c r="K47" s="358">
        <f>COUNTIF(I11:I41,"riposo")</f>
        <v>11</v>
      </c>
      <c r="L47" s="358" t="s">
        <v>55</v>
      </c>
      <c r="M47" s="358"/>
      <c r="N47" s="358">
        <f>COUNTIF(L11:L41,"riposo")</f>
        <v>9</v>
      </c>
      <c r="O47" s="358" t="s">
        <v>55</v>
      </c>
      <c r="P47" s="358"/>
      <c r="Q47" s="358">
        <f>COUNTIF(O11:O41,"riposo")</f>
        <v>7</v>
      </c>
      <c r="R47" s="358" t="s">
        <v>55</v>
      </c>
      <c r="S47" s="358"/>
      <c r="T47" s="358">
        <f>COUNTIF(R11:R41,"riposo")</f>
        <v>8</v>
      </c>
      <c r="X47" s="11"/>
      <c r="Y47" s="10"/>
    </row>
    <row r="48" spans="1:26" ht="36.6" x14ac:dyDescent="0.3">
      <c r="B48" s="675"/>
      <c r="C48" s="358" t="s">
        <v>56</v>
      </c>
      <c r="D48" s="358"/>
      <c r="E48" s="358">
        <f>+E42-E46</f>
        <v>160</v>
      </c>
      <c r="F48" s="358" t="s">
        <v>56</v>
      </c>
      <c r="G48" s="358"/>
      <c r="H48" s="358">
        <f>+H42-H46</f>
        <v>184</v>
      </c>
      <c r="I48" s="358" t="s">
        <v>56</v>
      </c>
      <c r="J48" s="360"/>
      <c r="K48" s="358">
        <f>+K42-K46</f>
        <v>160</v>
      </c>
      <c r="L48" s="358" t="s">
        <v>56</v>
      </c>
      <c r="M48" s="358"/>
      <c r="N48" s="358">
        <f>+N42-N46</f>
        <v>176</v>
      </c>
      <c r="O48" s="358" t="s">
        <v>56</v>
      </c>
      <c r="P48" s="358"/>
      <c r="Q48" s="358">
        <f>+Q42-Q46</f>
        <v>184</v>
      </c>
      <c r="R48" s="358" t="s">
        <v>56</v>
      </c>
      <c r="S48" s="358"/>
      <c r="T48" s="358">
        <f>+T42-T46</f>
        <v>176</v>
      </c>
    </row>
    <row r="49" spans="2:20" ht="36.6" x14ac:dyDescent="0.3">
      <c r="B49" s="675"/>
      <c r="C49" s="358" t="s">
        <v>88</v>
      </c>
      <c r="D49" s="360"/>
      <c r="E49" s="358">
        <f>COUNTIF(D11:D41,"R")</f>
        <v>4</v>
      </c>
      <c r="F49" s="358" t="s">
        <v>88</v>
      </c>
      <c r="G49" s="360"/>
      <c r="H49" s="358">
        <f>COUNTIF(G11:G41,"R")</f>
        <v>7</v>
      </c>
      <c r="I49" s="358" t="s">
        <v>88</v>
      </c>
      <c r="J49" s="360"/>
      <c r="K49" s="358">
        <f>COUNTIF(J11:J41,"R")</f>
        <v>0</v>
      </c>
      <c r="L49" s="358" t="s">
        <v>88</v>
      </c>
      <c r="M49" s="360"/>
      <c r="N49" s="358">
        <f>COUNTIF(M11:M41,"R")</f>
        <v>7</v>
      </c>
      <c r="O49" s="358" t="s">
        <v>88</v>
      </c>
      <c r="P49" s="360"/>
      <c r="Q49" s="358">
        <f>COUNTIF(P11:P41,"R")</f>
        <v>5</v>
      </c>
      <c r="R49" s="358" t="s">
        <v>88</v>
      </c>
      <c r="S49" s="360"/>
      <c r="T49" s="358">
        <f>COUNTIF(S11:S41,"R")</f>
        <v>7</v>
      </c>
    </row>
    <row r="50" spans="2:20" ht="36.6" x14ac:dyDescent="0.3">
      <c r="B50" s="675"/>
      <c r="C50" s="358" t="s">
        <v>98</v>
      </c>
      <c r="D50" s="360"/>
      <c r="E50" s="358">
        <f>COUNTIF(C11:C41,"22*")</f>
        <v>7</v>
      </c>
      <c r="F50" s="358" t="s">
        <v>98</v>
      </c>
      <c r="G50" s="360"/>
      <c r="H50" s="358">
        <f>COUNTIF(F11:F41,"2*")</f>
        <v>0</v>
      </c>
      <c r="I50" s="358" t="s">
        <v>98</v>
      </c>
      <c r="J50" s="360"/>
      <c r="K50" s="358">
        <f>COUNTIF(I11:I41,"2*")</f>
        <v>7</v>
      </c>
      <c r="L50" s="358" t="s">
        <v>98</v>
      </c>
      <c r="M50" s="360"/>
      <c r="N50" s="358">
        <f>COUNTIF(L11:L41,"2*")</f>
        <v>7</v>
      </c>
      <c r="O50" s="358" t="s">
        <v>98</v>
      </c>
      <c r="P50" s="360"/>
      <c r="Q50" s="358">
        <f>COUNTIF(O11:O41,"2*")</f>
        <v>4</v>
      </c>
      <c r="R50" s="358" t="s">
        <v>98</v>
      </c>
      <c r="S50" s="360"/>
      <c r="T50" s="358">
        <f>COUNTIF(R11:R41,"2*")</f>
        <v>5</v>
      </c>
    </row>
    <row r="51" spans="2:20" ht="36.6" x14ac:dyDescent="0.3">
      <c r="B51" s="675"/>
      <c r="C51" s="358" t="s">
        <v>99</v>
      </c>
      <c r="D51" s="360"/>
      <c r="E51" s="358">
        <f>(COUNTIF(C11:C41,"malattia"))*8</f>
        <v>0</v>
      </c>
      <c r="F51" s="358" t="s">
        <v>99</v>
      </c>
      <c r="G51" s="360"/>
      <c r="H51" s="358">
        <f>(COUNTIF(F11:F41,"malattia"))*8</f>
        <v>0</v>
      </c>
      <c r="I51" s="358" t="s">
        <v>99</v>
      </c>
      <c r="J51" s="360"/>
      <c r="K51" s="358">
        <f>(COUNTIF(I11:I41,"malattia"))*8</f>
        <v>0</v>
      </c>
      <c r="L51" s="358" t="s">
        <v>99</v>
      </c>
      <c r="M51" s="360"/>
      <c r="N51" s="358">
        <f>(COUNTIF(L11:L41,"malattia"))*8</f>
        <v>0</v>
      </c>
      <c r="O51" s="358" t="s">
        <v>99</v>
      </c>
      <c r="P51" s="360"/>
      <c r="Q51" s="358">
        <f>(COUNTIF(O11:O41,"malattia"))*8</f>
        <v>0</v>
      </c>
      <c r="R51" s="358" t="s">
        <v>99</v>
      </c>
      <c r="S51" s="360"/>
      <c r="T51" s="358">
        <f>(COUNTIF(R11:R41,"malattia"))*8</f>
        <v>0</v>
      </c>
    </row>
    <row r="52" spans="2:20" ht="37.200000000000003" thickBot="1" x14ac:dyDescent="0.35">
      <c r="B52" s="690"/>
      <c r="C52" s="361" t="s">
        <v>100</v>
      </c>
      <c r="D52" s="361"/>
      <c r="E52" s="361">
        <f>+E42-$B$54</f>
        <v>-8</v>
      </c>
      <c r="F52" s="361"/>
      <c r="G52" s="361"/>
      <c r="H52" s="361">
        <f>+H42-$B$54</f>
        <v>16</v>
      </c>
      <c r="I52" s="361"/>
      <c r="J52" s="361"/>
      <c r="K52" s="361">
        <f>+K42-$B$54</f>
        <v>-8</v>
      </c>
      <c r="L52" s="361"/>
      <c r="M52" s="361"/>
      <c r="N52" s="361">
        <f>+N42-$B$54</f>
        <v>8</v>
      </c>
      <c r="O52" s="361"/>
      <c r="P52" s="361"/>
      <c r="Q52" s="361">
        <f>+Q42-$B$54</f>
        <v>16</v>
      </c>
      <c r="R52" s="361"/>
      <c r="S52" s="361"/>
      <c r="T52" s="361">
        <f>+T42-$B$54</f>
        <v>8</v>
      </c>
    </row>
    <row r="53" spans="2:20" ht="37.799999999999997" thickTop="1" thickBot="1" x14ac:dyDescent="0.35">
      <c r="B53" s="356">
        <f>+E42+H42+K42+N42+Q42+T42</f>
        <v>1040</v>
      </c>
      <c r="C53" s="360"/>
      <c r="D53" s="360"/>
      <c r="E53" s="360"/>
      <c r="F53" s="360"/>
      <c r="G53" s="360"/>
      <c r="H53" s="360"/>
      <c r="I53" s="360"/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</row>
    <row r="54" spans="2:20" ht="37.200000000000003" thickTop="1" x14ac:dyDescent="0.7">
      <c r="B54" s="357">
        <f>((COUNTA($B$11:$B$41)*8)-(9*8))</f>
        <v>168</v>
      </c>
    </row>
  </sheetData>
  <sheetProtection algorithmName="SHA-512" hashValue="IBt5Erp2gdWiUhxtEIzzyo+X2JJHfQtZ3zEphfrWq0WJhadkqyKAyk3P/B+X0Ek2IVrqE217yliPqeNIyLSIeA==" saltValue="ifiLd3VUfSjakFlO7vMFQg==" spinCount="100000" sheet="1" formatCells="0" formatColumns="0" formatRows="0" insertColumns="0" insertRows="0" insertHyperlinks="0" deleteColumns="0" deleteRows="0" sort="0" autoFilter="0" pivotTables="0"/>
  <mergeCells count="22">
    <mergeCell ref="O7:O8"/>
    <mergeCell ref="B46:B52"/>
    <mergeCell ref="J7:J8"/>
    <mergeCell ref="K7:K8"/>
    <mergeCell ref="L7:L8"/>
    <mergeCell ref="M7:M8"/>
    <mergeCell ref="A5:T5"/>
    <mergeCell ref="A6:B8"/>
    <mergeCell ref="C6:T6"/>
    <mergeCell ref="C7:C8"/>
    <mergeCell ref="D7:D8"/>
    <mergeCell ref="E7:E8"/>
    <mergeCell ref="F7:F8"/>
    <mergeCell ref="G7:G8"/>
    <mergeCell ref="H7:H8"/>
    <mergeCell ref="I7:I8"/>
    <mergeCell ref="P7:P8"/>
    <mergeCell ref="Q7:Q8"/>
    <mergeCell ref="R7:R8"/>
    <mergeCell ref="S7:S8"/>
    <mergeCell ref="T7:T8"/>
    <mergeCell ref="N7:N8"/>
  </mergeCells>
  <conditionalFormatting sqref="E52 G52:H52 J52:K52 M52:N52 P52:Q52 S52:T52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8" scale="46" orientation="landscape" r:id="rId1"/>
  <colBreaks count="1" manualBreakCount="1">
    <brk id="21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VA_PG_StatoInvioCA xmlns="87994b8a-c787-467c-86ef-ad1ae42418d9">false</AVA_PG_StatoInvioCA>
    <AVA_PG_ClienteEnte xmlns="6908eeb8-3c36-4210-9307-9e951158dbeb">RAI RADIOTELEVISIONE ITALIANA SPA</AVA_PG_ClienteEnte>
    <AVA_PG_AnnoAcquisizione xmlns="87994b8a-c787-467c-86ef-ad1ae42418d9">2020</AVA_PG_AnnoAcquisizione>
    <AVA_PG_CodiceCommessa xmlns="1fc4161f-3a5a-415d-912b-31124825d917">FACI16442</AVA_PG_CodiceCommessa>
    <_Flow_SignoffStatus xmlns="dd3f85c4-4f23-4476-a43d-db21f552cb9f" xsi:nil="true"/>
    <AVA_PG_ResponsabileCommessa xmlns="31b67644-b584-4dc1-85b9-b7714bb669ec">
      <UserInfo>
        <DisplayName/>
        <AccountId xsi:nil="true"/>
        <AccountType/>
      </UserInfo>
    </AVA_PG_ResponsabileCommessa>
    <AVA_PG_Area xmlns="1fc4161f-3a5a-415d-912b-31124825d917">Nord</AVA_PG_Area>
    <AVA_PG_DescrizioneContratto xmlns="87994b8a-c787-467c-86ef-ad1ae42418d9" xsi:nil="true"/>
    <AVA_PG_Codice xmlns="6908eeb8-3c36-4210-9307-9e951158dbeb">GL03069</AVA_PG_Codice>
    <AVA_PG_TitoloGara xmlns="87994b8a-c787-467c-86ef-ad1ae42418d9">RAI - MANUT IMPIANTI ELETTRICI</AVA_PG_TitoloGara>
    <AVA_PG_NoteContratto xmlns="87994b8a-c787-467c-86ef-ad1ae42418d9" xsi:nil="true"/>
    <AVA_PG_Lotto xmlns="107f604f-3115-4c8a-809f-41a75283ef15" xsi:nil="true"/>
    <lcf76f155ced4ddcb4097134ff3c332f xmlns="dd3f85c4-4f23-4476-a43d-db21f552cb9f">
      <Terms xmlns="http://schemas.microsoft.com/office/infopath/2007/PartnerControls"/>
    </lcf76f155ced4ddcb4097134ff3c332f>
    <TaxCatchAll xmlns="31b67644-b584-4dc1-85b9-b7714bb669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i Commessa" ma:contentTypeID="0x0101005741292EF4050146ABF5EABC06890A3300D67A7C3FAB8FCD4CB36AD7FA469D0034" ma:contentTypeVersion="29" ma:contentTypeDescription="Creare un nuovo documento." ma:contentTypeScope="" ma:versionID="4c3d70f2d0dd50ac5661ea8b00f8694c">
  <xsd:schema xmlns:xsd="http://www.w3.org/2001/XMLSchema" xmlns:xs="http://www.w3.org/2001/XMLSchema" xmlns:p="http://schemas.microsoft.com/office/2006/metadata/properties" xmlns:ns2="1fc4161f-3a5a-415d-912b-31124825d917" xmlns:ns3="6908eeb8-3c36-4210-9307-9e951158dbeb" xmlns:ns4="87994b8a-c787-467c-86ef-ad1ae42418d9" xmlns:ns5="31b67644-b584-4dc1-85b9-b7714bb669ec" xmlns:ns6="dd3f85c4-4f23-4476-a43d-db21f552cb9f" xmlns:ns7="107f604f-3115-4c8a-809f-41a75283ef15" targetNamespace="http://schemas.microsoft.com/office/2006/metadata/properties" ma:root="true" ma:fieldsID="abb2073c5ec63777b56b3692a0a19b5f" ns2:_="" ns3:_="" ns4:_="" ns5:_="" ns6:_="" ns7:_="">
    <xsd:import namespace="1fc4161f-3a5a-415d-912b-31124825d917"/>
    <xsd:import namespace="6908eeb8-3c36-4210-9307-9e951158dbeb"/>
    <xsd:import namespace="87994b8a-c787-467c-86ef-ad1ae42418d9"/>
    <xsd:import namespace="31b67644-b584-4dc1-85b9-b7714bb669ec"/>
    <xsd:import namespace="dd3f85c4-4f23-4476-a43d-db21f552cb9f"/>
    <xsd:import namespace="107f604f-3115-4c8a-809f-41a75283ef15"/>
    <xsd:element name="properties">
      <xsd:complexType>
        <xsd:sequence>
          <xsd:element name="documentManagement">
            <xsd:complexType>
              <xsd:all>
                <xsd:element ref="ns2:AVA_PG_CodiceCommessa" minOccurs="0"/>
                <xsd:element ref="ns3:AVA_PG_ClienteEnte" minOccurs="0"/>
                <xsd:element ref="ns2:AVA_PG_Area" minOccurs="0"/>
                <xsd:element ref="ns4:AVA_PG_AnnoAcquisizione" minOccurs="0"/>
                <xsd:element ref="ns5:AVA_PG_ResponsabileCommessa" minOccurs="0"/>
                <xsd:element ref="ns4:AVA_PG_TitoloGara" minOccurs="0"/>
                <xsd:element ref="ns3:AVA_PG_Codice" minOccurs="0"/>
                <xsd:element ref="ns4:AVA_PG_StatoInvioCA" minOccurs="0"/>
                <xsd:element ref="ns4:AVA_PG_DescrizioneContratto" minOccurs="0"/>
                <xsd:element ref="ns4:AVA_PG_NoteContratto" minOccurs="0"/>
                <xsd:element ref="ns6:MediaServiceMetadata" minOccurs="0"/>
                <xsd:element ref="ns6:MediaServiceFastMetadata" minOccurs="0"/>
                <xsd:element ref="ns5:TaxCatchAll" minOccurs="0"/>
                <xsd:element ref="ns6:MediaServiceDateTaken" minOccurs="0"/>
                <xsd:element ref="ns6:MediaServiceGenerationTime" minOccurs="0"/>
                <xsd:element ref="ns6:MediaServiceEventHashCode" minOccurs="0"/>
                <xsd:element ref="ns6:lcf76f155ced4ddcb4097134ff3c332f" minOccurs="0"/>
                <xsd:element ref="ns6:MediaServiceOCR" minOccurs="0"/>
                <xsd:element ref="ns6:MediaLengthInSeconds" minOccurs="0"/>
                <xsd:element ref="ns6:MediaServiceLocation" minOccurs="0"/>
                <xsd:element ref="ns7:AVA_PG_Lotto" minOccurs="0"/>
                <xsd:element ref="ns6:_Flow_SignoffStatus" minOccurs="0"/>
                <xsd:element ref="ns6:MediaServiceObjectDetectorVersions" minOccurs="0"/>
                <xsd:element ref="ns6:MediaServiceSearchProperties" minOccurs="0"/>
                <xsd:element ref="ns6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c4161f-3a5a-415d-912b-31124825d917" elementFormDefault="qualified">
    <xsd:import namespace="http://schemas.microsoft.com/office/2006/documentManagement/types"/>
    <xsd:import namespace="http://schemas.microsoft.com/office/infopath/2007/PartnerControls"/>
    <xsd:element name="AVA_PG_CodiceCommessa" ma:index="8" nillable="true" ma:displayName="ID Sale" ma:internalName="AVA_PG_CodiceCommessa">
      <xsd:simpleType>
        <xsd:restriction base="dms:Text">
          <xsd:maxLength value="255"/>
        </xsd:restriction>
      </xsd:simpleType>
    </xsd:element>
    <xsd:element name="AVA_PG_Area" ma:index="10" nillable="true" ma:displayName="Area" ma:internalName="AVA_PG_Area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8eeb8-3c36-4210-9307-9e951158dbeb" elementFormDefault="qualified">
    <xsd:import namespace="http://schemas.microsoft.com/office/2006/documentManagement/types"/>
    <xsd:import namespace="http://schemas.microsoft.com/office/infopath/2007/PartnerControls"/>
    <xsd:element name="AVA_PG_ClienteEnte" ma:index="9" nillable="true" ma:displayName="Customer" ma:internalName="AVA_PG_ClienteEnte">
      <xsd:simpleType>
        <xsd:restriction base="dms:Text">
          <xsd:maxLength value="255"/>
        </xsd:restriction>
      </xsd:simpleType>
    </xsd:element>
    <xsd:element name="AVA_PG_Codice" ma:index="14" nillable="true" ma:displayName="ID Opportunity" ma:internalName="AVA_PG_Codic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94b8a-c787-467c-86ef-ad1ae42418d9" elementFormDefault="qualified">
    <xsd:import namespace="http://schemas.microsoft.com/office/2006/documentManagement/types"/>
    <xsd:import namespace="http://schemas.microsoft.com/office/infopath/2007/PartnerControls"/>
    <xsd:element name="AVA_PG_AnnoAcquisizione" ma:index="11" nillable="true" ma:displayName="Acquisition Year" ma:internalName="AVA_PG_AnnoAcquisizione">
      <xsd:simpleType>
        <xsd:restriction base="dms:Text">
          <xsd:maxLength value="255"/>
        </xsd:restriction>
      </xsd:simpleType>
    </xsd:element>
    <xsd:element name="AVA_PG_TitoloGara" ma:index="13" nillable="true" ma:displayName="Opportunity Title" ma:internalName="AVA_PG_TitoloGara">
      <xsd:simpleType>
        <xsd:restriction base="dms:Text">
          <xsd:maxLength value="255"/>
        </xsd:restriction>
      </xsd:simpleType>
    </xsd:element>
    <xsd:element name="AVA_PG_StatoInvioCA" ma:index="15" nillable="true" ma:displayName="Sent to CA" ma:default="0" ma:internalName="AVA_PG_StatoInvioCA">
      <xsd:simpleType>
        <xsd:restriction base="dms:Boolean"/>
      </xsd:simpleType>
    </xsd:element>
    <xsd:element name="AVA_PG_DescrizioneContratto" ma:index="16" nillable="true" ma:displayName="Contract Description" ma:internalName="AVA_PG_DescrizioneContratto">
      <xsd:simpleType>
        <xsd:restriction base="dms:Note">
          <xsd:maxLength value="255"/>
        </xsd:restriction>
      </xsd:simpleType>
    </xsd:element>
    <xsd:element name="AVA_PG_NoteContratto" ma:index="17" nillable="true" ma:displayName="Contract Note" ma:internalName="AVA_PG_NoteContratto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67644-b584-4dc1-85b9-b7714bb669ec" elementFormDefault="qualified">
    <xsd:import namespace="http://schemas.microsoft.com/office/2006/documentManagement/types"/>
    <xsd:import namespace="http://schemas.microsoft.com/office/infopath/2007/PartnerControls"/>
    <xsd:element name="AVA_PG_ResponsabileCommessa" ma:index="12" nillable="true" ma:displayName="Sale Manager" ma:list="UserInfo" ma:SharePointGroup="0" ma:internalName="AVA_PG_ResponsabileCommessa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0" nillable="true" ma:displayName="Taxonomy Catch All Column" ma:hidden="true" ma:list="{65805cb7-14c6-4dce-9f24-d807d4da1c41}" ma:internalName="TaxCatchAll" ma:showField="CatchAllData" ma:web="31b67644-b584-4dc1-85b9-b7714bb66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3f85c4-4f23-4476-a43d-db21f552cb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319bae4-8e9b-42b3-b17a-dce6163fc6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8" nillable="true" ma:displayName="Location" ma:internalName="MediaServiceLocation" ma:readOnly="true">
      <xsd:simpleType>
        <xsd:restriction base="dms:Text"/>
      </xsd:simpleType>
    </xsd:element>
    <xsd:element name="_Flow_SignoffStatus" ma:index="30" nillable="true" ma:displayName="Sign-off status" ma:internalName="Sign_x002d_off_x0020_status">
      <xsd:simpleType>
        <xsd:restriction base="dms:Text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f604f-3115-4c8a-809f-41a75283ef15" elementFormDefault="qualified">
    <xsd:import namespace="http://schemas.microsoft.com/office/2006/documentManagement/types"/>
    <xsd:import namespace="http://schemas.microsoft.com/office/infopath/2007/PartnerControls"/>
    <xsd:element name="AVA_PG_Lotto" ma:index="29" nillable="true" ma:displayName="Lot" ma:format="Dropdown" ma:internalName="AVA_PG_Lott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D77B78-23D3-46EA-961D-DBBCB324DCDF}">
  <ds:schemaRefs>
    <ds:schemaRef ds:uri="http://schemas.microsoft.com/office/2006/metadata/properties"/>
    <ds:schemaRef ds:uri="http://schemas.microsoft.com/office/infopath/2007/PartnerControls"/>
    <ds:schemaRef ds:uri="87994b8a-c787-467c-86ef-ad1ae42418d9"/>
    <ds:schemaRef ds:uri="6908eeb8-3c36-4210-9307-9e951158dbeb"/>
    <ds:schemaRef ds:uri="1fc4161f-3a5a-415d-912b-31124825d917"/>
    <ds:schemaRef ds:uri="dd3f85c4-4f23-4476-a43d-db21f552cb9f"/>
    <ds:schemaRef ds:uri="31b67644-b584-4dc1-85b9-b7714bb669ec"/>
    <ds:schemaRef ds:uri="107f604f-3115-4c8a-809f-41a75283ef15"/>
  </ds:schemaRefs>
</ds:datastoreItem>
</file>

<file path=customXml/itemProps2.xml><?xml version="1.0" encoding="utf-8"?>
<ds:datastoreItem xmlns:ds="http://schemas.openxmlformats.org/officeDocument/2006/customXml" ds:itemID="{2C57FDBC-8721-4131-BF4F-DD4B41037B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c4161f-3a5a-415d-912b-31124825d917"/>
    <ds:schemaRef ds:uri="6908eeb8-3c36-4210-9307-9e951158dbeb"/>
    <ds:schemaRef ds:uri="87994b8a-c787-467c-86ef-ad1ae42418d9"/>
    <ds:schemaRef ds:uri="31b67644-b584-4dc1-85b9-b7714bb669ec"/>
    <ds:schemaRef ds:uri="dd3f85c4-4f23-4476-a43d-db21f552cb9f"/>
    <ds:schemaRef ds:uri="107f604f-3115-4c8a-809f-41a75283ef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7504A3-636E-4630-870A-23C886624E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14</vt:i4>
      </vt:variant>
      <vt:variant>
        <vt:lpstr>Intervalli denominati</vt:lpstr>
      </vt:variant>
      <vt:variant>
        <vt:i4>8</vt:i4>
      </vt:variant>
    </vt:vector>
  </HeadingPairs>
  <TitlesOfParts>
    <vt:vector size="22" baseType="lpstr">
      <vt:lpstr>LUGLIO 2022</vt:lpstr>
      <vt:lpstr>AGOSTO 2022 </vt:lpstr>
      <vt:lpstr>Settembre 22</vt:lpstr>
      <vt:lpstr>OTTOBRE 22</vt:lpstr>
      <vt:lpstr>NOVEMBRE 22</vt:lpstr>
      <vt:lpstr>DICEMBRE 22</vt:lpstr>
      <vt:lpstr>RIEPILOGO 3Q26</vt:lpstr>
      <vt:lpstr>LUG 2026 consuntivo</vt:lpstr>
      <vt:lpstr>AGOSTO 2023 </vt:lpstr>
      <vt:lpstr>SETTEMBRE 2023</vt:lpstr>
      <vt:lpstr>AGO 2026 consuntivo</vt:lpstr>
      <vt:lpstr>SET 2026 consuntivo </vt:lpstr>
      <vt:lpstr>OTTOBRE 2023</vt:lpstr>
      <vt:lpstr>NOVEMBRE 2023</vt:lpstr>
      <vt:lpstr>'AGOSTO 2023 '!Area_stampa</vt:lpstr>
      <vt:lpstr>'DICEMBRE 22'!Area_stampa</vt:lpstr>
      <vt:lpstr>'LUGLIO 2022'!Area_stampa</vt:lpstr>
      <vt:lpstr>'NOVEMBRE 2023'!Area_stampa</vt:lpstr>
      <vt:lpstr>'NOVEMBRE 22'!Area_stampa</vt:lpstr>
      <vt:lpstr>'OTTOBRE 2023'!Area_stampa</vt:lpstr>
      <vt:lpstr>'OTTOBRE 22'!Area_stampa</vt:lpstr>
      <vt:lpstr>'SETTEMBRE 2023'!Area_stampa</vt:lpstr>
    </vt:vector>
  </TitlesOfParts>
  <Manager/>
  <Company>Rekeep Spa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Presidio Rai Milano</dc:creator>
  <cp:keywords/>
  <dc:description/>
  <cp:lastModifiedBy>Campagnoli Ivan Luca</cp:lastModifiedBy>
  <cp:revision/>
  <cp:lastPrinted>2026-07-06T13:55:06Z</cp:lastPrinted>
  <dcterms:created xsi:type="dcterms:W3CDTF">2022-06-14T13:57:25Z</dcterms:created>
  <dcterms:modified xsi:type="dcterms:W3CDTF">2026-07-06T13:55:06Z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0x0101005741292EF4050146ABF5EABC06890A3300D67A7C3FAB8FCD4CB36AD7FA469D0034</vt:lpwstr>
  </property>
  <property fmtid="{D5CDD505-2E9C-101B-9397-08002B2CF9AE}" pid="3" name="MediaServiceImageTags">
    <vt:lpwstr/>
  </property>
</Properties>
</file>