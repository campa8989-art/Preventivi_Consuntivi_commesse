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Desktop/PREVENTIVO-00035-SOSTITUZIONE SEZIONATORE+TELERUTTORE+TERMICA+CONTATTI AUSILIARI POMPA 25/"/>
    </mc:Choice>
  </mc:AlternateContent>
  <xr:revisionPtr revIDLastSave="422" documentId="11_254A9F74C4D0E288A5D98DA1F100C4A845AAA394" xr6:coauthVersionLast="47" xr6:coauthVersionMax="47" xr10:uidLastSave="{76A2D031-178E-4586-A410-E5D6CCEFB320}"/>
  <bookViews>
    <workbookView xWindow="-120" yWindow="-120" windowWidth="29040" windowHeight="15720" xr2:uid="{00000000-000D-0000-FFFF-FFFF00000000}"/>
  </bookViews>
  <sheets>
    <sheet name="Prev  00035" sheetId="15" r:id="rId1"/>
  </sheets>
  <definedNames>
    <definedName name="_xlnm._FilterDatabase" localSheetId="0" hidden="1">'Prev  00035'!$A$20:$J$21</definedName>
    <definedName name="_MailOriginal" localSheetId="0">'Prev  00035'!#REF!</definedName>
    <definedName name="_xlnm.Print_Area" localSheetId="0">'Prev  00035'!$A$1:$K$49</definedName>
    <definedName name="_xlnm.Print_Titles" localSheetId="0">'Prev  00035'!$18:$20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5" l="1"/>
  <c r="H25" i="15" s="1"/>
  <c r="I25" i="15" s="1"/>
  <c r="J25" i="15" s="1"/>
  <c r="G26" i="15"/>
  <c r="H26" i="15" s="1"/>
  <c r="I26" i="15" s="1"/>
  <c r="J26" i="15" s="1"/>
  <c r="G23" i="15"/>
  <c r="H23" i="15" s="1"/>
  <c r="I23" i="15" s="1"/>
  <c r="J23" i="15" s="1"/>
  <c r="G24" i="15"/>
  <c r="H24" i="15" s="1"/>
  <c r="I24" i="15" s="1"/>
  <c r="J24" i="15" s="1"/>
  <c r="G22" i="15"/>
  <c r="H22" i="15" s="1"/>
  <c r="I22" i="15" s="1"/>
  <c r="J22" i="15" s="1"/>
  <c r="G21" i="15"/>
  <c r="H21" i="15" s="1"/>
  <c r="I21" i="15" s="1"/>
  <c r="J21" i="15" s="1"/>
  <c r="J29" i="15"/>
  <c r="J27" i="15" l="1"/>
  <c r="J31" i="15" s="1"/>
</calcChain>
</file>

<file path=xl/sharedStrings.xml><?xml version="1.0" encoding="utf-8"?>
<sst xmlns="http://schemas.openxmlformats.org/spreadsheetml/2006/main" count="64" uniqueCount="54">
  <si>
    <r>
      <t>Spett.le</t>
    </r>
    <r>
      <rPr>
        <b/>
        <sz val="14"/>
        <rFont val="Arial"/>
        <family val="2"/>
      </rPr>
      <t/>
    </r>
  </si>
  <si>
    <t>DIREZIONE OPERATION - AREA LOMBARDIA</t>
  </si>
  <si>
    <t>c.a:</t>
  </si>
  <si>
    <t>Ripa Antonio</t>
  </si>
  <si>
    <t>Tassini Davide</t>
  </si>
  <si>
    <t>DATA:</t>
  </si>
  <si>
    <t>COMMITTENTE: RAI</t>
  </si>
  <si>
    <t xml:space="preserve">NUM. Offerta </t>
  </si>
  <si>
    <r>
      <t>PRESIDIO:</t>
    </r>
    <r>
      <rPr>
        <b/>
        <u/>
        <sz val="9"/>
        <rFont val="Arial"/>
        <family val="2"/>
      </rPr>
      <t xml:space="preserve"> RAI MILANO</t>
    </r>
  </si>
  <si>
    <t>PREV.</t>
  </si>
  <si>
    <t>REK/BD/BD/2026/U/ic/MP/000163</t>
  </si>
  <si>
    <t xml:space="preserve">AREA LAVORO: </t>
  </si>
  <si>
    <t>Palazzo 27 - Piano -2</t>
  </si>
  <si>
    <t>ODL:</t>
  </si>
  <si>
    <t>AREA INTERVENTO: C.so Sempione 27 (MI)</t>
  </si>
  <si>
    <t>MANUTENZIONE  EXTRA CANONE</t>
  </si>
  <si>
    <t>Oggetto: RAI Milano - Preventivo per Sostituzione componenti elettrici guasti Pompa 25</t>
  </si>
  <si>
    <t>COMPUTO  METRICO  ESTIMATIVO</t>
  </si>
  <si>
    <t>IMPORTO</t>
  </si>
  <si>
    <t>Listino</t>
  </si>
  <si>
    <t>Voci</t>
  </si>
  <si>
    <t>Descrizione sintetica delle lavorazioni</t>
  </si>
  <si>
    <t>U.M.</t>
  </si>
  <si>
    <t>Q.tà</t>
  </si>
  <si>
    <t>Prezzo unitario</t>
  </si>
  <si>
    <t>Incr. 15% contrattuale</t>
  </si>
  <si>
    <t>Sconto Gara 31%</t>
  </si>
  <si>
    <t>PU Scontato</t>
  </si>
  <si>
    <t xml:space="preserve">Totale       </t>
  </si>
  <si>
    <t>N.P.</t>
  </si>
  <si>
    <t>SCHNEIDER ELECTRIC - SNRA9S65391 INT. SEZIONAT. ISW 3P 100A - A9S65391</t>
  </si>
  <si>
    <t>cad</t>
  </si>
  <si>
    <t>ABB SPA - ABBAF80300011 AF80-30-00-11 CONT 3P 80A 24-60V AC/DC - AF80300011</t>
  </si>
  <si>
    <t>ABB SPA - ABBTF9668 TF96-68 RELE TERMICO 57-68 CL:10 - TF9668</t>
  </si>
  <si>
    <t>ABB SPA - ABBCAL411 CAL4-11 CONTATTO AUSILIARIO LATERALE NA+ - CAL411</t>
  </si>
  <si>
    <t>ABB SPA - ABBCA401 CA4-01 CONTATTO AUSILIARIO NC FRONTALE - CA401</t>
  </si>
  <si>
    <t>ABB SPA - ABBCA410 CA4-10 CONTATTO AUSILIARIO NA FRONTALE - CA410</t>
  </si>
  <si>
    <t>TOTALE MATERIALI</t>
  </si>
  <si>
    <t xml:space="preserve"> TOTALE MANODOPERA</t>
  </si>
  <si>
    <t>TOTALE  OFFERTA (IVA escl.)</t>
  </si>
  <si>
    <t>Per REKEEP
Ivan Luca Campagnoli</t>
  </si>
  <si>
    <t>Firma per accettazione</t>
  </si>
  <si>
    <t>Referenti RAI
   Davide Tassini - Ripa Antonio</t>
  </si>
  <si>
    <t>Note</t>
  </si>
  <si>
    <t>CONDIZIONI  DELLA  FORNITURA</t>
  </si>
  <si>
    <t>Pagamenti</t>
  </si>
  <si>
    <t>Termini contrattuali</t>
  </si>
  <si>
    <t xml:space="preserve">Esclusione </t>
  </si>
  <si>
    <t>Tutto quanto non descritto</t>
  </si>
  <si>
    <t>Validità dell'offerta</t>
  </si>
  <si>
    <t>30 giorni</t>
  </si>
  <si>
    <t>Consegna lavori</t>
  </si>
  <si>
    <t>30 giorni data ordine</t>
  </si>
  <si>
    <t>PER RICEVUTA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</si>
</sst>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* #,##0.00\ &quot;€&quot;_-;\-* #,##0.00\ &quot;€&quot;_-;_-* &quot;-&quot;??\ &quot;€&quot;_-;_-@_-"/>
    <numFmt numFmtId="164" formatCode="_(&quot;€&quot;* #,##0_);_(&quot;€&quot;* \(#,##0\);_(&quot;€&quot;* &quot;-&quot;_);_(@_)"/>
    <numFmt numFmtId="165" formatCode="0.0%"/>
    <numFmt numFmtId="166" formatCode="_-[$€-2]\ * #,##0.00_-;\-[$€-2]\ * #,##0.00_-;_-[$€-2]\ * &quot;-&quot;??_-"/>
    <numFmt numFmtId="167" formatCode="_([$€-2]\ * #,##0.00_);_([$€-2]\ * \(#,##0.00\);_([$€-2]\ * &quot;-&quot;??_);_(@_)"/>
    <numFmt numFmtId="168" formatCode="_-[$€-2]\ * #,##0.00_-;\-[$€-2]\ * #,##0.00_-;_-[$€-2]\ * &quot;-&quot;??_-;_-@_-"/>
    <numFmt numFmtId="169" formatCode="00000"/>
    <numFmt numFmtId="170" formatCode="[$€-2]\ #,##0.00;[Red]\-[$€-2]\ #,##0.00"/>
  </numFmts>
  <fonts count="24">
    <font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u val="singleAccounting"/>
      <sz val="9"/>
      <name val="Arial"/>
      <family val="2"/>
    </font>
    <font>
      <u/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2"/>
      <name val="Century Gothic"/>
      <family val="2"/>
    </font>
    <font>
      <b/>
      <sz val="12"/>
      <color rgb="FF000000"/>
      <name val="Arial"/>
      <charset val="1"/>
    </font>
    <font>
      <sz val="14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14"/>
      <color rgb="FF16171D"/>
      <name val="Aptos"/>
      <family val="2"/>
    </font>
    <font>
      <sz val="16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right" vertical="center"/>
    </xf>
    <xf numFmtId="166" fontId="1" fillId="0" borderId="2" xfId="1" applyFont="1" applyBorder="1" applyAlignment="1">
      <alignment horizontal="center" vertical="center"/>
    </xf>
    <xf numFmtId="9" fontId="1" fillId="0" borderId="2" xfId="2" applyFont="1" applyBorder="1" applyAlignment="1">
      <alignment vertical="center" wrapText="1"/>
    </xf>
    <xf numFmtId="167" fontId="1" fillId="0" borderId="2" xfId="0" applyNumberFormat="1" applyFont="1" applyBorder="1" applyAlignment="1">
      <alignment vertical="center"/>
    </xf>
    <xf numFmtId="49" fontId="15" fillId="0" borderId="0" xfId="3" applyNumberFormat="1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49" fontId="15" fillId="0" borderId="2" xfId="3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68" fontId="4" fillId="2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0" applyNumberFormat="1" applyFont="1"/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vertical="center" wrapText="1"/>
    </xf>
    <xf numFmtId="0" fontId="0" fillId="3" borderId="0" xfId="0" applyFill="1"/>
    <xf numFmtId="0" fontId="4" fillId="3" borderId="0" xfId="0" applyFont="1" applyFill="1" applyAlignment="1">
      <alignment horizontal="justify" vertical="justify"/>
    </xf>
    <xf numFmtId="0" fontId="1" fillId="3" borderId="0" xfId="0" applyFont="1" applyFill="1" applyAlignment="1">
      <alignment vertical="center"/>
    </xf>
    <xf numFmtId="2" fontId="1" fillId="3" borderId="0" xfId="0" applyNumberFormat="1" applyFont="1" applyFill="1" applyAlignment="1">
      <alignment horizontal="center"/>
    </xf>
    <xf numFmtId="0" fontId="8" fillId="3" borderId="0" xfId="0" applyFont="1" applyFill="1"/>
    <xf numFmtId="0" fontId="1" fillId="3" borderId="0" xfId="0" applyFont="1" applyFill="1" applyAlignment="1">
      <alignment horizontal="center" vertical="center" wrapText="1"/>
    </xf>
    <xf numFmtId="4" fontId="1" fillId="3" borderId="0" xfId="0" applyNumberFormat="1" applyFont="1" applyFill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4" fontId="1" fillId="3" borderId="0" xfId="0" applyNumberFormat="1" applyFont="1" applyFill="1" applyAlignment="1">
      <alignment vertical="center" wrapText="1"/>
    </xf>
    <xf numFmtId="165" fontId="1" fillId="3" borderId="0" xfId="0" applyNumberFormat="1" applyFont="1" applyFill="1" applyAlignment="1">
      <alignment vertical="center" wrapText="1"/>
    </xf>
    <xf numFmtId="0" fontId="8" fillId="3" borderId="0" xfId="0" applyFont="1" applyFill="1" applyAlignment="1">
      <alignment horizontal="left" vertical="center"/>
    </xf>
    <xf numFmtId="4" fontId="1" fillId="3" borderId="0" xfId="0" applyNumberFormat="1" applyFont="1" applyFill="1" applyAlignment="1">
      <alignment horizontal="left" vertical="center" wrapText="1"/>
    </xf>
    <xf numFmtId="165" fontId="1" fillId="3" borderId="0" xfId="0" applyNumberFormat="1" applyFont="1" applyFill="1" applyAlignment="1">
      <alignment horizontal="left" vertical="center" wrapText="1"/>
    </xf>
    <xf numFmtId="0" fontId="10" fillId="3" borderId="0" xfId="0" applyFont="1" applyFill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9" fillId="3" borderId="0" xfId="0" applyFont="1" applyFill="1" applyAlignment="1">
      <alignment vertical="center"/>
    </xf>
    <xf numFmtId="41" fontId="9" fillId="3" borderId="0" xfId="0" applyNumberFormat="1" applyFont="1" applyFill="1" applyAlignment="1">
      <alignment horizontal="center" vertical="center"/>
    </xf>
    <xf numFmtId="0" fontId="12" fillId="3" borderId="0" xfId="0" applyFont="1" applyFill="1"/>
    <xf numFmtId="0" fontId="5" fillId="3" borderId="0" xfId="0" applyFont="1" applyFill="1" applyAlignment="1">
      <alignment horizontal="center" vertical="center"/>
    </xf>
    <xf numFmtId="41" fontId="6" fillId="3" borderId="0" xfId="0" applyNumberFormat="1" applyFont="1" applyFill="1" applyAlignment="1">
      <alignment horizontal="center" vertical="center"/>
    </xf>
    <xf numFmtId="0" fontId="1" fillId="3" borderId="0" xfId="0" applyFont="1" applyFill="1"/>
    <xf numFmtId="0" fontId="4" fillId="3" borderId="2" xfId="0" applyFont="1" applyFill="1" applyBorder="1" applyAlignment="1">
      <alignment horizontal="center" vertical="center" wrapText="1"/>
    </xf>
    <xf numFmtId="166" fontId="4" fillId="3" borderId="2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49" fontId="15" fillId="3" borderId="2" xfId="3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top"/>
    </xf>
    <xf numFmtId="0" fontId="17" fillId="0" borderId="0" xfId="0" applyFont="1" applyAlignment="1">
      <alignment horizontal="center"/>
    </xf>
    <xf numFmtId="14" fontId="13" fillId="3" borderId="0" xfId="0" applyNumberFormat="1" applyFont="1" applyFill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66" fontId="19" fillId="3" borderId="2" xfId="1" applyFont="1" applyFill="1" applyBorder="1" applyAlignment="1">
      <alignment horizontal="center" vertical="center"/>
    </xf>
    <xf numFmtId="44" fontId="19" fillId="3" borderId="2" xfId="2" applyNumberFormat="1" applyFont="1" applyFill="1" applyBorder="1" applyAlignment="1">
      <alignment vertical="center" wrapText="1"/>
    </xf>
    <xf numFmtId="167" fontId="19" fillId="3" borderId="2" xfId="0" applyNumberFormat="1" applyFont="1" applyFill="1" applyBorder="1" applyAlignment="1">
      <alignment vertical="center"/>
    </xf>
    <xf numFmtId="168" fontId="20" fillId="2" borderId="2" xfId="0" applyNumberFormat="1" applyFont="1" applyFill="1" applyBorder="1" applyAlignment="1">
      <alignment horizontal="center" vertical="center" wrapText="1"/>
    </xf>
    <xf numFmtId="49" fontId="21" fillId="3" borderId="2" xfId="3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170" fontId="19" fillId="0" borderId="6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70" fontId="19" fillId="0" borderId="7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70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0" fontId="19" fillId="0" borderId="9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top" wrapText="1"/>
    </xf>
    <xf numFmtId="0" fontId="1" fillId="3" borderId="0" xfId="0" applyFont="1" applyFill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center" vertical="center"/>
    </xf>
    <xf numFmtId="169" fontId="4" fillId="3" borderId="2" xfId="0" quotePrefix="1" applyNumberFormat="1" applyFont="1" applyFill="1" applyBorder="1" applyAlignment="1" applyProtection="1">
      <alignment horizontal="left" vertical="center"/>
      <protection locked="0"/>
    </xf>
    <xf numFmtId="169" fontId="18" fillId="3" borderId="2" xfId="0" quotePrefix="1" applyNumberFormat="1" applyFont="1" applyFill="1" applyBorder="1" applyAlignment="1" applyProtection="1">
      <alignment horizontal="left" vertical="center"/>
      <protection locked="0"/>
    </xf>
    <xf numFmtId="169" fontId="7" fillId="3" borderId="2" xfId="0" quotePrefix="1" applyNumberFormat="1" applyFont="1" applyFill="1" applyBorder="1" applyAlignment="1" applyProtection="1">
      <alignment horizontal="left" vertical="center"/>
      <protection locked="0"/>
    </xf>
    <xf numFmtId="0" fontId="1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8" fontId="4" fillId="2" borderId="4" xfId="0" applyNumberFormat="1" applyFont="1" applyFill="1" applyBorder="1" applyAlignment="1">
      <alignment horizontal="right" vertical="center"/>
    </xf>
    <xf numFmtId="168" fontId="4" fillId="2" borderId="1" xfId="0" applyNumberFormat="1" applyFont="1" applyFill="1" applyBorder="1" applyAlignment="1">
      <alignment horizontal="right" vertical="center"/>
    </xf>
    <xf numFmtId="168" fontId="4" fillId="2" borderId="3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23" fillId="3" borderId="0" xfId="0" applyFont="1" applyFill="1" applyAlignment="1">
      <alignment vertical="center" wrapText="1"/>
    </xf>
  </cellXfs>
  <cellStyles count="4">
    <cellStyle name="Euro" xfId="1" xr:uid="{00000000-0005-0000-0000-000000000000}"/>
    <cellStyle name="Normale" xfId="0" builtinId="0"/>
    <cellStyle name="Percentuale" xfId="2" builtinId="5"/>
    <cellStyle name="Valuta [0]" xfId="3" builtin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cid:image002.jpg@01D73DAC.6552BF7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162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t-IT" sz="1000" b="1" i="0" strike="noStrike">
              <a:solidFill>
                <a:srgbClr val="000000"/>
              </a:solidFill>
              <a:latin typeface="Century Gothic"/>
            </a:rPr>
            <a:t>Oggetto: Fornitura e posa di m. 9 di blindosbarra.</a:t>
          </a:r>
          <a:endParaRPr lang="it-IT" sz="1000" b="0" i="0" strike="noStrike">
            <a:solidFill>
              <a:srgbClr val="000000"/>
            </a:solidFill>
            <a:latin typeface="Century Gothic"/>
          </a:endParaRPr>
        </a:p>
        <a:p>
          <a:pPr algn="l" rtl="0">
            <a:defRPr sz="1000"/>
          </a:pPr>
          <a:endParaRPr lang="it-IT" sz="1000" b="0" i="0" strike="noStrike">
            <a:solidFill>
              <a:srgbClr val="000000"/>
            </a:solidFill>
            <a:latin typeface="Century Gothic"/>
          </a:endParaRPr>
        </a:p>
        <a:p>
          <a:pPr algn="l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Century Gothic"/>
            </a:rPr>
            <a:t>In seguito alla vostra richiesta per le opere in oggetto, forniamo di seguito il ns preventivo per la fornitura e messa in opera di m. 9 di blindosbarra comprensiva di n. 2 avvolgibili da m. 9.</a:t>
          </a:r>
        </a:p>
        <a:p>
          <a:pPr algn="l" rtl="0">
            <a:defRPr sz="1000"/>
          </a:pPr>
          <a:endParaRPr lang="it-IT" sz="1000" b="0" i="0" strike="noStrike">
            <a:solidFill>
              <a:srgbClr val="000000"/>
            </a:solidFill>
            <a:latin typeface="Century Gothic"/>
          </a:endParaRPr>
        </a:p>
        <a:p>
          <a:pPr algn="l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Century Gothic"/>
            </a:rPr>
            <a:t>Il preventivo è comprensivo di materiali e manodopera ad eccezione del noleggio della piattaforma elevatrice, che rimane di vs fornitura.</a:t>
          </a:r>
        </a:p>
        <a:p>
          <a:pPr algn="l" rtl="0">
            <a:defRPr sz="1000"/>
          </a:pPr>
          <a:endParaRPr lang="it-IT" sz="1000" b="0" i="0" strike="noStrike">
            <a:solidFill>
              <a:srgbClr val="000000"/>
            </a:solidFill>
            <a:latin typeface="Century Gothic"/>
          </a:endParaRPr>
        </a:p>
        <a:p>
          <a:pPr algn="l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Century Gothic"/>
            </a:rPr>
            <a:t>In attesa di un Vs. cortese riscontro e a disposizione per ogni chiarimento,</a:t>
          </a:r>
        </a:p>
        <a:p>
          <a:pPr algn="l" rtl="0">
            <a:defRPr sz="1000"/>
          </a:pPr>
          <a:endParaRPr lang="it-IT" sz="1000" b="0" i="0" strike="noStrike">
            <a:solidFill>
              <a:srgbClr val="000000"/>
            </a:solidFill>
            <a:latin typeface="Century Gothic"/>
          </a:endParaRPr>
        </a:p>
        <a:p>
          <a:pPr algn="l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Century Gothic"/>
            </a:rPr>
            <a:t>Cordiali saluti.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1592580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546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34512</xdr:colOff>
      <xdr:row>1</xdr:row>
      <xdr:rowOff>9861</xdr:rowOff>
    </xdr:from>
    <xdr:to>
      <xdr:col>2</xdr:col>
      <xdr:colOff>1030940</xdr:colOff>
      <xdr:row>5</xdr:row>
      <xdr:rowOff>17481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777" y="177949"/>
          <a:ext cx="1467075" cy="6799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23420</xdr:colOff>
      <xdr:row>0</xdr:row>
      <xdr:rowOff>166744</xdr:rowOff>
    </xdr:from>
    <xdr:to>
      <xdr:col>8</xdr:col>
      <xdr:colOff>742726</xdr:colOff>
      <xdr:row>5</xdr:row>
      <xdr:rowOff>90544</xdr:rowOff>
    </xdr:to>
    <xdr:pic>
      <xdr:nvPicPr>
        <xdr:cNvPr id="5" name="IMG1" descr="cid:image002.jpg@01D73DAC.6552BF7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1273" y="166744"/>
          <a:ext cx="719306" cy="764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9"/>
  <sheetViews>
    <sheetView tabSelected="1" zoomScale="70" zoomScaleNormal="70" zoomScaleSheetLayoutView="100" workbookViewId="0">
      <selection activeCell="M16" sqref="M16"/>
    </sheetView>
  </sheetViews>
  <sheetFormatPr defaultColWidth="9.140625" defaultRowHeight="12.75"/>
  <cols>
    <col min="1" max="1" width="8.42578125" style="3" customWidth="1"/>
    <col min="2" max="2" width="13.5703125" style="3" customWidth="1"/>
    <col min="3" max="3" width="50.140625" style="19" customWidth="1"/>
    <col min="4" max="4" width="7.140625" style="2" customWidth="1"/>
    <col min="5" max="5" width="13.42578125" style="2" customWidth="1"/>
    <col min="6" max="6" width="12.85546875" style="4" customWidth="1"/>
    <col min="7" max="7" width="14.5703125" style="4" customWidth="1"/>
    <col min="8" max="8" width="14" style="4" customWidth="1"/>
    <col min="9" max="10" width="15.42578125" style="2" bestFit="1" customWidth="1"/>
    <col min="11" max="11" width="11.85546875" style="1" bestFit="1" customWidth="1"/>
    <col min="12" max="15" width="9.140625" style="1"/>
    <col min="16" max="16" width="10.7109375" style="1" customWidth="1"/>
    <col min="17" max="16384" width="9.140625" style="1"/>
  </cols>
  <sheetData>
    <row r="1" spans="1:11" ht="13.5" customHeight="1">
      <c r="A1" s="26"/>
      <c r="B1" s="26"/>
      <c r="C1" s="27"/>
      <c r="D1" s="88"/>
      <c r="E1" s="88"/>
      <c r="F1" s="88"/>
      <c r="G1" s="88"/>
      <c r="H1" s="88"/>
      <c r="I1" s="88"/>
      <c r="J1" s="29"/>
      <c r="K1" s="55"/>
    </row>
    <row r="2" spans="1:11" ht="13.5" customHeight="1">
      <c r="A2" s="26"/>
      <c r="B2" s="26"/>
      <c r="C2" s="27"/>
      <c r="D2" s="83" t="s">
        <v>0</v>
      </c>
      <c r="E2" s="83"/>
      <c r="F2" s="83"/>
      <c r="G2" s="83"/>
      <c r="H2" s="30"/>
      <c r="I2" s="30"/>
      <c r="J2" s="29"/>
      <c r="K2" s="55"/>
    </row>
    <row r="3" spans="1:11" ht="13.5" customHeight="1">
      <c r="A3" s="26"/>
      <c r="B3" s="26"/>
      <c r="C3" s="27"/>
      <c r="D3" s="31"/>
      <c r="E3" s="32"/>
      <c r="F3" s="32"/>
      <c r="G3" s="32"/>
      <c r="H3" s="32"/>
      <c r="I3" s="32"/>
      <c r="J3" s="29"/>
      <c r="K3" s="55"/>
    </row>
    <row r="4" spans="1:11" ht="13.5" customHeight="1">
      <c r="A4" s="26"/>
      <c r="B4" s="26"/>
      <c r="C4" s="27"/>
      <c r="D4" s="32"/>
      <c r="E4" s="32"/>
      <c r="F4" s="32"/>
      <c r="G4" s="32"/>
      <c r="H4" s="32"/>
      <c r="I4" s="32"/>
      <c r="J4" s="29"/>
      <c r="K4" s="55"/>
    </row>
    <row r="5" spans="1:11" ht="13.5" customHeight="1">
      <c r="A5" s="26"/>
      <c r="B5" s="26"/>
      <c r="C5" s="27"/>
      <c r="D5" s="32"/>
      <c r="E5" s="32"/>
      <c r="F5" s="32"/>
      <c r="G5" s="32"/>
      <c r="H5" s="32"/>
      <c r="I5" s="32"/>
      <c r="J5" s="29"/>
      <c r="K5" s="55"/>
    </row>
    <row r="6" spans="1:11">
      <c r="A6" s="26"/>
      <c r="B6" s="26"/>
      <c r="C6" s="27"/>
      <c r="D6" s="32"/>
      <c r="E6" s="32"/>
      <c r="F6" s="32"/>
      <c r="G6" s="32"/>
      <c r="H6" s="32"/>
      <c r="I6" s="32"/>
      <c r="J6" s="29"/>
      <c r="K6" s="55"/>
    </row>
    <row r="7" spans="1:11">
      <c r="A7" s="26"/>
      <c r="B7" s="26"/>
      <c r="C7" s="27"/>
      <c r="D7" s="33"/>
      <c r="E7" s="30"/>
      <c r="F7" s="34"/>
      <c r="G7" s="34"/>
      <c r="H7" s="34"/>
      <c r="I7" s="29"/>
      <c r="J7" s="29"/>
      <c r="K7" s="55"/>
    </row>
    <row r="8" spans="1:11" ht="27.2" customHeight="1">
      <c r="A8" s="104" t="s">
        <v>1</v>
      </c>
      <c r="B8" s="104"/>
      <c r="C8" s="104"/>
      <c r="D8" s="103" t="s">
        <v>2</v>
      </c>
      <c r="E8" s="105" t="s">
        <v>3</v>
      </c>
      <c r="F8" s="105"/>
      <c r="G8" s="30"/>
      <c r="H8" s="35"/>
      <c r="I8" s="35"/>
      <c r="J8" s="29"/>
      <c r="K8" s="55"/>
    </row>
    <row r="9" spans="1:11" ht="6.2" customHeight="1">
      <c r="A9" s="36"/>
      <c r="B9" s="28"/>
      <c r="C9" s="36"/>
      <c r="D9" s="103"/>
      <c r="E9" s="105" t="s">
        <v>4</v>
      </c>
      <c r="F9" s="105"/>
      <c r="G9" s="105"/>
      <c r="H9" s="37"/>
      <c r="I9" s="38"/>
      <c r="J9" s="29"/>
      <c r="K9" s="55"/>
    </row>
    <row r="10" spans="1:11" ht="13.5" customHeight="1">
      <c r="A10" s="39"/>
      <c r="B10" s="26"/>
      <c r="C10" s="27"/>
      <c r="D10" s="103"/>
      <c r="E10" s="105"/>
      <c r="F10" s="105"/>
      <c r="G10" s="105"/>
      <c r="H10" s="35"/>
      <c r="I10" s="35"/>
      <c r="J10" s="29"/>
      <c r="K10" s="55"/>
    </row>
    <row r="11" spans="1:11" ht="6.2" customHeight="1">
      <c r="A11" s="40"/>
      <c r="B11" s="40"/>
      <c r="C11" s="41"/>
      <c r="D11" s="42"/>
      <c r="E11" s="41"/>
      <c r="F11" s="43"/>
      <c r="G11" s="43"/>
      <c r="H11" s="43"/>
      <c r="I11" s="44"/>
      <c r="J11" s="29"/>
      <c r="K11" s="55"/>
    </row>
    <row r="12" spans="1:11" ht="16.899999999999999" customHeight="1">
      <c r="A12" s="45" t="s">
        <v>5</v>
      </c>
      <c r="B12" s="63">
        <v>46197</v>
      </c>
      <c r="C12" s="41"/>
      <c r="D12" s="42"/>
      <c r="E12" s="41"/>
      <c r="F12" s="46"/>
      <c r="G12" s="46"/>
      <c r="H12" s="46"/>
      <c r="I12" s="47"/>
      <c r="J12" s="29"/>
      <c r="K12" s="55"/>
    </row>
    <row r="13" spans="1:11" ht="16.899999999999999" customHeight="1">
      <c r="A13" s="48" t="s">
        <v>6</v>
      </c>
      <c r="B13" s="26"/>
      <c r="C13" s="27"/>
      <c r="D13" s="29"/>
      <c r="E13" s="49" t="s">
        <v>7</v>
      </c>
      <c r="F13" s="95">
        <v>35</v>
      </c>
      <c r="G13" s="95"/>
      <c r="H13" s="95"/>
      <c r="I13" s="95"/>
      <c r="J13" s="95"/>
      <c r="K13" s="55"/>
    </row>
    <row r="14" spans="1:11" ht="16.899999999999999" customHeight="1">
      <c r="A14" s="48" t="s">
        <v>8</v>
      </c>
      <c r="B14" s="50"/>
      <c r="C14" s="51"/>
      <c r="D14" s="52"/>
      <c r="E14" s="49" t="s">
        <v>9</v>
      </c>
      <c r="F14" s="96" t="s">
        <v>10</v>
      </c>
      <c r="G14" s="97"/>
      <c r="H14" s="97"/>
      <c r="I14" s="97"/>
      <c r="J14" s="97"/>
      <c r="K14" s="55"/>
    </row>
    <row r="15" spans="1:11" ht="16.899999999999999" customHeight="1">
      <c r="A15" s="48" t="s">
        <v>11</v>
      </c>
      <c r="B15" s="53"/>
      <c r="C15" s="62" t="s">
        <v>12</v>
      </c>
      <c r="D15" s="52"/>
      <c r="E15" s="49" t="s">
        <v>13</v>
      </c>
      <c r="F15" s="98"/>
      <c r="G15" s="98"/>
      <c r="H15" s="98"/>
      <c r="I15" s="98"/>
      <c r="J15" s="98"/>
      <c r="K15" s="55"/>
    </row>
    <row r="16" spans="1:11" ht="16.899999999999999" customHeight="1">
      <c r="A16" s="48" t="s">
        <v>14</v>
      </c>
      <c r="B16" s="53"/>
      <c r="C16" s="54"/>
      <c r="D16" s="55"/>
      <c r="E16" s="99" t="s">
        <v>15</v>
      </c>
      <c r="F16" s="99"/>
      <c r="G16" s="99"/>
      <c r="H16" s="99"/>
      <c r="I16" s="99"/>
      <c r="J16" s="99"/>
      <c r="K16" s="55"/>
    </row>
    <row r="17" spans="1:16" ht="12.95" customHeight="1">
      <c r="A17" s="53"/>
      <c r="B17" s="53"/>
      <c r="C17" s="54"/>
      <c r="D17" s="55"/>
      <c r="E17" s="26"/>
      <c r="F17" s="26"/>
      <c r="G17" s="26"/>
      <c r="H17" s="26"/>
      <c r="I17" s="55"/>
      <c r="J17" s="55"/>
      <c r="K17" s="55"/>
      <c r="L17" s="24"/>
      <c r="M17" s="24"/>
      <c r="N17" s="24"/>
      <c r="O17" s="24"/>
      <c r="P17" s="24"/>
    </row>
    <row r="18" spans="1:16" ht="39.75" customHeight="1">
      <c r="A18" s="89" t="s">
        <v>16</v>
      </c>
      <c r="B18" s="89"/>
      <c r="C18" s="89"/>
      <c r="D18" s="89"/>
      <c r="E18" s="89"/>
      <c r="F18" s="89"/>
      <c r="G18" s="89"/>
      <c r="H18" s="89"/>
      <c r="I18" s="89"/>
      <c r="J18" s="90"/>
      <c r="K18" s="55"/>
      <c r="L18" s="24"/>
      <c r="M18" s="24"/>
      <c r="N18" s="24"/>
      <c r="O18" s="24"/>
      <c r="P18" s="24"/>
    </row>
    <row r="19" spans="1:16" ht="31.5" customHeight="1">
      <c r="A19" s="85" t="s">
        <v>17</v>
      </c>
      <c r="B19" s="85"/>
      <c r="C19" s="85"/>
      <c r="D19" s="85"/>
      <c r="E19" s="85"/>
      <c r="F19" s="85"/>
      <c r="G19" s="85"/>
      <c r="H19" s="85"/>
      <c r="I19" s="85"/>
      <c r="J19" s="64" t="s">
        <v>18</v>
      </c>
      <c r="K19" s="55"/>
      <c r="L19" s="24"/>
      <c r="M19" s="24"/>
      <c r="N19" s="24"/>
      <c r="O19" s="24"/>
      <c r="P19" s="24"/>
    </row>
    <row r="20" spans="1:16" s="5" customFormat="1" ht="31.5" customHeight="1">
      <c r="A20" s="56" t="s">
        <v>19</v>
      </c>
      <c r="B20" s="56" t="s">
        <v>20</v>
      </c>
      <c r="C20" s="56" t="s">
        <v>21</v>
      </c>
      <c r="D20" s="56" t="s">
        <v>22</v>
      </c>
      <c r="E20" s="56" t="s">
        <v>23</v>
      </c>
      <c r="F20" s="57" t="s">
        <v>24</v>
      </c>
      <c r="G20" s="57" t="s">
        <v>25</v>
      </c>
      <c r="H20" s="57" t="s">
        <v>26</v>
      </c>
      <c r="I20" s="56" t="s">
        <v>27</v>
      </c>
      <c r="J20" s="56" t="s">
        <v>28</v>
      </c>
      <c r="K20" s="58"/>
    </row>
    <row r="21" spans="1:16" ht="89.45" customHeight="1">
      <c r="A21" s="59"/>
      <c r="B21" s="69" t="s">
        <v>29</v>
      </c>
      <c r="C21" s="70" t="s">
        <v>30</v>
      </c>
      <c r="D21" s="71" t="s">
        <v>31</v>
      </c>
      <c r="E21" s="72">
        <v>1</v>
      </c>
      <c r="F21" s="73">
        <v>93.89</v>
      </c>
      <c r="G21" s="65">
        <f>F21*0.15</f>
        <v>14.083499999999999</v>
      </c>
      <c r="H21" s="66">
        <f>G21*(1-0.31)</f>
        <v>9.7176149999999986</v>
      </c>
      <c r="I21" s="67">
        <f>F21+H21</f>
        <v>103.607615</v>
      </c>
      <c r="J21" s="67">
        <f>E21*I21</f>
        <v>103.607615</v>
      </c>
      <c r="K21" s="55"/>
      <c r="L21" s="25"/>
      <c r="M21" s="25"/>
      <c r="N21" s="25"/>
      <c r="O21" s="25"/>
      <c r="P21" s="25"/>
    </row>
    <row r="22" spans="1:16" ht="89.45" customHeight="1">
      <c r="A22" s="59"/>
      <c r="B22" s="69" t="s">
        <v>29</v>
      </c>
      <c r="C22" s="70" t="s">
        <v>32</v>
      </c>
      <c r="D22" s="71" t="s">
        <v>31</v>
      </c>
      <c r="E22" s="74">
        <v>1</v>
      </c>
      <c r="F22" s="75">
        <v>261.43</v>
      </c>
      <c r="G22" s="65">
        <f>F22*0.15</f>
        <v>39.214500000000001</v>
      </c>
      <c r="H22" s="66">
        <f>G22*(1-0.31)</f>
        <v>27.058004999999998</v>
      </c>
      <c r="I22" s="67">
        <f>F22+H22</f>
        <v>288.48800499999999</v>
      </c>
      <c r="J22" s="67">
        <f t="shared" ref="J22" si="0">E22*I22</f>
        <v>288.48800499999999</v>
      </c>
      <c r="K22" s="55"/>
      <c r="L22" s="24"/>
      <c r="M22" s="24"/>
      <c r="N22" s="24"/>
      <c r="O22" s="24"/>
      <c r="P22" s="24"/>
    </row>
    <row r="23" spans="1:16" ht="89.25" customHeight="1">
      <c r="A23" s="59"/>
      <c r="B23" s="69" t="s">
        <v>29</v>
      </c>
      <c r="C23" s="70" t="s">
        <v>33</v>
      </c>
      <c r="D23" s="71" t="s">
        <v>31</v>
      </c>
      <c r="E23" s="76">
        <v>1</v>
      </c>
      <c r="F23" s="77">
        <v>124.36</v>
      </c>
      <c r="G23" s="65">
        <f t="shared" ref="G23:G26" si="1">F23*0.15</f>
        <v>18.654</v>
      </c>
      <c r="H23" s="66">
        <f t="shared" ref="H23:H26" si="2">G23*(1-0.31)</f>
        <v>12.871259999999999</v>
      </c>
      <c r="I23" s="67">
        <f t="shared" ref="I23:I24" si="3">F23+H23</f>
        <v>137.23125999999999</v>
      </c>
      <c r="J23" s="67">
        <f t="shared" ref="J23:J24" si="4">E23*I23</f>
        <v>137.23125999999999</v>
      </c>
      <c r="K23" s="55"/>
      <c r="L23" s="24"/>
      <c r="M23" s="24"/>
      <c r="N23" s="24"/>
      <c r="O23" s="24"/>
      <c r="P23" s="24"/>
    </row>
    <row r="24" spans="1:16" ht="89.25" customHeight="1">
      <c r="A24" s="59"/>
      <c r="B24" s="69" t="s">
        <v>29</v>
      </c>
      <c r="C24" s="70" t="s">
        <v>34</v>
      </c>
      <c r="D24" s="78" t="s">
        <v>31</v>
      </c>
      <c r="E24" s="79">
        <v>1</v>
      </c>
      <c r="F24" s="80">
        <v>8.34</v>
      </c>
      <c r="G24" s="65">
        <f t="shared" si="1"/>
        <v>1.2509999999999999</v>
      </c>
      <c r="H24" s="66">
        <f t="shared" si="2"/>
        <v>0.8631899999999999</v>
      </c>
      <c r="I24" s="67">
        <f t="shared" si="3"/>
        <v>9.2031899999999993</v>
      </c>
      <c r="J24" s="67">
        <f t="shared" si="4"/>
        <v>9.2031899999999993</v>
      </c>
      <c r="K24" s="55"/>
      <c r="L24" s="24"/>
      <c r="M24" s="24"/>
      <c r="N24" s="24"/>
      <c r="O24" s="24"/>
      <c r="P24" s="24"/>
    </row>
    <row r="25" spans="1:16" ht="89.25" customHeight="1">
      <c r="A25" s="59"/>
      <c r="B25" s="69" t="s">
        <v>29</v>
      </c>
      <c r="C25" s="70" t="s">
        <v>35</v>
      </c>
      <c r="D25" s="78" t="s">
        <v>31</v>
      </c>
      <c r="E25" s="79">
        <v>2</v>
      </c>
      <c r="F25" s="80">
        <v>5.37</v>
      </c>
      <c r="G25" s="65">
        <f t="shared" si="1"/>
        <v>0.80549999999999999</v>
      </c>
      <c r="H25" s="66">
        <f t="shared" si="2"/>
        <v>0.55579499999999993</v>
      </c>
      <c r="I25" s="67">
        <f t="shared" ref="I25:I26" si="5">F25+H25</f>
        <v>5.9257949999999999</v>
      </c>
      <c r="J25" s="67">
        <f t="shared" ref="J25:J26" si="6">E25*I25</f>
        <v>11.85159</v>
      </c>
      <c r="K25" s="55"/>
      <c r="L25" s="24"/>
      <c r="M25" s="24"/>
      <c r="N25" s="24"/>
      <c r="O25" s="24"/>
      <c r="P25" s="24"/>
    </row>
    <row r="26" spans="1:16" ht="89.25" customHeight="1">
      <c r="A26" s="59"/>
      <c r="B26" s="69" t="s">
        <v>29</v>
      </c>
      <c r="C26" s="70" t="s">
        <v>36</v>
      </c>
      <c r="D26" s="81" t="s">
        <v>31</v>
      </c>
      <c r="E26" s="79">
        <v>2</v>
      </c>
      <c r="F26" s="80">
        <v>5.37</v>
      </c>
      <c r="G26" s="65">
        <f t="shared" si="1"/>
        <v>0.80549999999999999</v>
      </c>
      <c r="H26" s="66">
        <f t="shared" si="2"/>
        <v>0.55579499999999993</v>
      </c>
      <c r="I26" s="67">
        <f t="shared" si="5"/>
        <v>5.9257949999999999</v>
      </c>
      <c r="J26" s="67">
        <f t="shared" si="6"/>
        <v>11.85159</v>
      </c>
      <c r="K26" s="55"/>
      <c r="L26" s="24"/>
      <c r="M26" s="24"/>
      <c r="N26" s="24"/>
      <c r="O26" s="24"/>
      <c r="P26" s="24"/>
    </row>
    <row r="27" spans="1:16" ht="21" customHeight="1">
      <c r="A27" s="100" t="s">
        <v>37</v>
      </c>
      <c r="B27" s="101"/>
      <c r="C27" s="101"/>
      <c r="D27" s="101"/>
      <c r="E27" s="101"/>
      <c r="F27" s="101"/>
      <c r="G27" s="101"/>
      <c r="H27" s="101"/>
      <c r="I27" s="102"/>
      <c r="J27" s="68">
        <f>SUM(J21:J26)</f>
        <v>562.23324999999988</v>
      </c>
      <c r="K27" s="55"/>
      <c r="L27" s="24"/>
      <c r="M27" s="21"/>
      <c r="N27" s="24"/>
      <c r="O27" s="24"/>
      <c r="P27" s="24"/>
    </row>
    <row r="28" spans="1:16" ht="39.75" customHeight="1">
      <c r="A28" s="12"/>
      <c r="B28" s="12"/>
      <c r="C28" s="20"/>
      <c r="D28" s="13"/>
      <c r="E28" s="14"/>
      <c r="F28" s="7"/>
      <c r="G28" s="7"/>
      <c r="H28" s="8"/>
      <c r="I28" s="9"/>
      <c r="J28" s="9"/>
      <c r="K28" s="55"/>
      <c r="L28" s="24"/>
      <c r="M28" s="24"/>
      <c r="N28" s="24"/>
      <c r="O28" s="24"/>
      <c r="P28" s="24"/>
    </row>
    <row r="29" spans="1:16" ht="16.149999999999999" customHeight="1">
      <c r="A29" s="91" t="s">
        <v>38</v>
      </c>
      <c r="B29" s="92"/>
      <c r="C29" s="92"/>
      <c r="D29" s="92"/>
      <c r="E29" s="92"/>
      <c r="F29" s="92"/>
      <c r="G29" s="92"/>
      <c r="H29" s="92"/>
      <c r="I29" s="93"/>
      <c r="J29" s="15">
        <f>SUM(J28:J28)</f>
        <v>0</v>
      </c>
      <c r="K29" s="55"/>
      <c r="L29" s="24"/>
      <c r="M29" s="24"/>
      <c r="N29" s="24"/>
      <c r="O29" s="24"/>
      <c r="P29" s="24"/>
    </row>
    <row r="30" spans="1:16" ht="14.25">
      <c r="A30" s="10"/>
      <c r="B30" s="6"/>
      <c r="C30" s="21"/>
      <c r="D30" s="11"/>
      <c r="E30" s="22"/>
      <c r="F30" s="23"/>
      <c r="G30" s="23"/>
      <c r="H30" s="23"/>
      <c r="I30" s="22"/>
      <c r="J30" s="22"/>
      <c r="K30" s="55"/>
      <c r="L30" s="24"/>
      <c r="M30" s="24"/>
      <c r="N30" s="24"/>
      <c r="O30" s="24"/>
      <c r="P30" s="24"/>
    </row>
    <row r="31" spans="1:16" ht="30" customHeight="1">
      <c r="A31" s="85" t="s">
        <v>39</v>
      </c>
      <c r="B31" s="85"/>
      <c r="C31" s="85"/>
      <c r="D31" s="85"/>
      <c r="E31" s="85"/>
      <c r="F31" s="85"/>
      <c r="G31" s="85"/>
      <c r="H31" s="85"/>
      <c r="I31" s="85"/>
      <c r="J31" s="68">
        <f>+J28+J27</f>
        <v>562.23324999999988</v>
      </c>
      <c r="K31" s="55"/>
      <c r="L31" s="24"/>
      <c r="M31" s="24"/>
      <c r="N31" s="24"/>
      <c r="O31" s="24"/>
      <c r="P31" s="24"/>
    </row>
    <row r="32" spans="1:16" ht="13.15" customHeight="1">
      <c r="A32" s="84" t="s">
        <v>40</v>
      </c>
      <c r="B32" s="84"/>
      <c r="C32" s="84"/>
      <c r="D32" s="84"/>
      <c r="E32" s="84"/>
      <c r="F32" s="87" t="s">
        <v>41</v>
      </c>
      <c r="G32" s="87"/>
      <c r="H32" s="87"/>
      <c r="I32" s="87"/>
      <c r="J32" s="87"/>
      <c r="K32" s="55"/>
      <c r="L32" s="24"/>
      <c r="M32" s="24"/>
      <c r="N32" s="24"/>
      <c r="O32" s="24"/>
      <c r="P32" s="24"/>
    </row>
    <row r="33" spans="1:11" ht="22.5" customHeight="1">
      <c r="A33" s="84"/>
      <c r="B33" s="84"/>
      <c r="C33" s="84"/>
      <c r="D33" s="84"/>
      <c r="E33" s="84"/>
      <c r="F33" s="87"/>
      <c r="G33" s="87"/>
      <c r="H33" s="87"/>
      <c r="I33" s="87"/>
      <c r="J33" s="87"/>
      <c r="K33" s="55"/>
    </row>
    <row r="34" spans="1:11" ht="13.15" customHeight="1">
      <c r="A34" s="84" t="s">
        <v>42</v>
      </c>
      <c r="B34" s="84"/>
      <c r="C34" s="84"/>
      <c r="D34" s="84"/>
      <c r="E34" s="84"/>
      <c r="F34" s="87"/>
      <c r="G34" s="87"/>
      <c r="H34" s="87"/>
      <c r="I34" s="87"/>
      <c r="J34" s="87"/>
      <c r="K34" s="55"/>
    </row>
    <row r="35" spans="1:11" ht="13.9" customHeight="1">
      <c r="A35" s="84"/>
      <c r="B35" s="84"/>
      <c r="C35" s="84"/>
      <c r="D35" s="84"/>
      <c r="E35" s="84"/>
      <c r="F35" s="87"/>
      <c r="G35" s="87"/>
      <c r="H35" s="87"/>
      <c r="I35" s="87"/>
      <c r="J35" s="87"/>
      <c r="K35" s="55"/>
    </row>
    <row r="36" spans="1:11" ht="13.15" customHeight="1">
      <c r="A36" s="84"/>
      <c r="B36" s="84"/>
      <c r="C36" s="84"/>
      <c r="D36" s="84"/>
      <c r="E36" s="84"/>
      <c r="F36" s="87"/>
      <c r="G36" s="87"/>
      <c r="H36" s="87"/>
      <c r="I36" s="87"/>
      <c r="J36" s="87"/>
      <c r="K36" s="55"/>
    </row>
    <row r="37" spans="1:11" ht="15.6" customHeight="1">
      <c r="A37" s="84"/>
      <c r="B37" s="84"/>
      <c r="C37" s="84"/>
      <c r="D37" s="84"/>
      <c r="E37" s="84"/>
      <c r="F37" s="87"/>
      <c r="G37" s="87"/>
      <c r="H37" s="87"/>
      <c r="I37" s="87"/>
      <c r="J37" s="87"/>
      <c r="K37" s="55"/>
    </row>
    <row r="38" spans="1:11" ht="15.6" customHeight="1">
      <c r="A38" s="60" t="s">
        <v>43</v>
      </c>
      <c r="B38" s="61"/>
      <c r="C38" s="27"/>
      <c r="D38" s="29"/>
      <c r="E38" s="29"/>
      <c r="F38" s="29"/>
      <c r="G38" s="29"/>
      <c r="H38" s="29"/>
      <c r="I38" s="29"/>
      <c r="J38" s="55"/>
      <c r="K38" s="55"/>
    </row>
    <row r="39" spans="1:11">
      <c r="A39" s="61"/>
      <c r="B39" s="61"/>
      <c r="C39" s="27"/>
      <c r="D39" s="29"/>
      <c r="E39" s="29"/>
      <c r="F39" s="29"/>
      <c r="G39" s="29"/>
      <c r="H39" s="29"/>
      <c r="I39" s="29"/>
      <c r="J39" s="55"/>
      <c r="K39" s="55"/>
    </row>
    <row r="40" spans="1:11" ht="15">
      <c r="A40" s="94" t="s">
        <v>44</v>
      </c>
      <c r="B40" s="94"/>
      <c r="C40" s="94"/>
      <c r="D40" s="94"/>
      <c r="E40" s="94"/>
      <c r="F40" s="94"/>
      <c r="G40" s="94"/>
      <c r="H40" s="94"/>
      <c r="I40" s="94"/>
      <c r="J40" s="94"/>
      <c r="K40" s="55"/>
    </row>
    <row r="41" spans="1:11" ht="13.9" customHeight="1">
      <c r="A41" s="86" t="s">
        <v>45</v>
      </c>
      <c r="B41" s="86"/>
      <c r="C41" s="86"/>
      <c r="D41" s="86"/>
      <c r="E41" s="86"/>
      <c r="F41" s="16" t="s">
        <v>46</v>
      </c>
      <c r="G41" s="17"/>
      <c r="H41" s="17"/>
      <c r="I41" s="17"/>
      <c r="J41" s="18"/>
      <c r="K41" s="55"/>
    </row>
    <row r="42" spans="1:11" ht="13.9" customHeight="1">
      <c r="A42" s="86" t="s">
        <v>47</v>
      </c>
      <c r="B42" s="86"/>
      <c r="C42" s="86"/>
      <c r="D42" s="86"/>
      <c r="E42" s="86"/>
      <c r="F42" s="16" t="s">
        <v>48</v>
      </c>
      <c r="G42" s="17"/>
      <c r="H42" s="17"/>
      <c r="I42" s="17"/>
      <c r="J42" s="18"/>
      <c r="K42" s="55"/>
    </row>
    <row r="43" spans="1:11" ht="13.9" customHeight="1">
      <c r="A43" s="86" t="s">
        <v>49</v>
      </c>
      <c r="B43" s="86"/>
      <c r="C43" s="86"/>
      <c r="D43" s="86"/>
      <c r="E43" s="86"/>
      <c r="F43" s="16" t="s">
        <v>50</v>
      </c>
      <c r="G43" s="17"/>
      <c r="H43" s="17"/>
      <c r="I43" s="17"/>
      <c r="J43" s="18"/>
      <c r="K43" s="55"/>
    </row>
    <row r="44" spans="1:11" ht="13.9" customHeight="1">
      <c r="A44" s="86" t="s">
        <v>51</v>
      </c>
      <c r="B44" s="86"/>
      <c r="C44" s="86"/>
      <c r="D44" s="86"/>
      <c r="E44" s="86"/>
      <c r="F44" s="16" t="s">
        <v>52</v>
      </c>
      <c r="G44" s="17"/>
      <c r="H44" s="17"/>
      <c r="I44" s="17"/>
      <c r="J44" s="18"/>
      <c r="K44" s="55"/>
    </row>
    <row r="45" spans="1:11">
      <c r="A45" s="26"/>
      <c r="B45" s="26"/>
      <c r="C45" s="27"/>
      <c r="D45" s="29"/>
      <c r="E45" s="29"/>
      <c r="F45" s="34"/>
      <c r="G45" s="34"/>
      <c r="H45" s="29"/>
      <c r="I45" s="29"/>
      <c r="J45" s="55"/>
      <c r="K45" s="55"/>
    </row>
    <row r="46" spans="1:11" ht="13.15" customHeight="1">
      <c r="A46" s="82" t="s">
        <v>53</v>
      </c>
      <c r="B46" s="82"/>
      <c r="C46" s="82"/>
      <c r="D46" s="82"/>
      <c r="E46" s="82"/>
      <c r="F46" s="34"/>
      <c r="G46" s="34"/>
      <c r="H46" s="29"/>
      <c r="I46" s="29"/>
      <c r="J46" s="29"/>
      <c r="K46" s="55"/>
    </row>
    <row r="47" spans="1:11" ht="40.9" customHeight="1">
      <c r="A47" s="82"/>
      <c r="B47" s="82"/>
      <c r="C47" s="82"/>
      <c r="D47" s="82"/>
      <c r="E47" s="82"/>
      <c r="F47" s="34"/>
      <c r="G47" s="34"/>
      <c r="H47" s="29"/>
      <c r="I47" s="29"/>
      <c r="J47" s="29"/>
      <c r="K47" s="55"/>
    </row>
    <row r="48" spans="1:11">
      <c r="A48" s="26"/>
      <c r="B48" s="26"/>
      <c r="C48" s="27"/>
      <c r="D48" s="29"/>
      <c r="E48" s="29"/>
      <c r="F48" s="34"/>
      <c r="G48" s="34"/>
      <c r="H48" s="34"/>
      <c r="I48" s="29"/>
      <c r="J48" s="29"/>
      <c r="K48" s="55"/>
    </row>
    <row r="49" spans="1:11">
      <c r="A49" s="26"/>
      <c r="B49" s="26"/>
      <c r="C49" s="27"/>
      <c r="D49" s="29"/>
      <c r="E49" s="29"/>
      <c r="F49" s="34"/>
      <c r="G49" s="34"/>
      <c r="H49" s="34"/>
      <c r="I49" s="29"/>
      <c r="J49" s="29"/>
      <c r="K49" s="55"/>
    </row>
  </sheetData>
  <protectedRanges>
    <protectedRange password="C66A" sqref="D1:I1" name="Intervallo3"/>
    <protectedRange password="C66A" sqref="A10 A8 C8:C9" name="Intervallo3_2"/>
    <protectedRange sqref="E10" name="Intervallo1" securityDescriptor="O:WDG:WDD:(A;;CC;;;WD)"/>
    <protectedRange password="C66A" sqref="D2:I2 E7 I3 E6:I6" name="Intervallo3_1"/>
  </protectedRanges>
  <mergeCells count="24">
    <mergeCell ref="D1:I1"/>
    <mergeCell ref="A18:J18"/>
    <mergeCell ref="A31:I31"/>
    <mergeCell ref="A29:I29"/>
    <mergeCell ref="A40:J40"/>
    <mergeCell ref="F13:J13"/>
    <mergeCell ref="F14:J14"/>
    <mergeCell ref="F15:J15"/>
    <mergeCell ref="E16:J16"/>
    <mergeCell ref="A27:I27"/>
    <mergeCell ref="D8:D10"/>
    <mergeCell ref="A8:C8"/>
    <mergeCell ref="E9:G10"/>
    <mergeCell ref="E8:F8"/>
    <mergeCell ref="A46:E47"/>
    <mergeCell ref="D2:G2"/>
    <mergeCell ref="A32:E33"/>
    <mergeCell ref="A19:I19"/>
    <mergeCell ref="A43:E43"/>
    <mergeCell ref="A44:E44"/>
    <mergeCell ref="F32:J37"/>
    <mergeCell ref="A34:E37"/>
    <mergeCell ref="A41:E41"/>
    <mergeCell ref="A42:E42"/>
  </mergeCells>
  <printOptions horizontalCentered="1"/>
  <pageMargins left="0.19685039370078741" right="0.19685039370078741" top="0.15748031496062992" bottom="0.23622047244094491" header="0.19685039370078741" footer="0.15748031496062992"/>
  <pageSetup paperSize="9" scale="7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VA_PG_StatoInvioCA xmlns="87994b8a-c787-467c-86ef-ad1ae42418d9">false</AVA_PG_StatoInvioCA>
    <AVA_PG_ClienteEnte xmlns="6908eeb8-3c36-4210-9307-9e951158dbeb">RAI RADIOTELEVISIONE ITALIANA SPA</AVA_PG_ClienteEnte>
    <AVA_PG_AnnoAcquisizione xmlns="87994b8a-c787-467c-86ef-ad1ae42418d9">2020</AVA_PG_AnnoAcquisizione>
    <AVA_PG_CodiceCommessa xmlns="1fc4161f-3a5a-415d-912b-31124825d917">FACI16442</AVA_PG_CodiceCommessa>
    <_Flow_SignoffStatus xmlns="dd3f85c4-4f23-4476-a43d-db21f552cb9f" xsi:nil="true"/>
    <AVA_PG_ResponsabileCommessa xmlns="31b67644-b584-4dc1-85b9-b7714bb669ec">
      <UserInfo>
        <DisplayName/>
        <AccountId xsi:nil="true"/>
        <AccountType/>
      </UserInfo>
    </AVA_PG_ResponsabileCommessa>
    <AVA_PG_Area xmlns="1fc4161f-3a5a-415d-912b-31124825d917">Nord</AVA_PG_Area>
    <AVA_PG_DescrizioneContratto xmlns="87994b8a-c787-467c-86ef-ad1ae42418d9" xsi:nil="true"/>
    <AVA_PG_Codice xmlns="6908eeb8-3c36-4210-9307-9e951158dbeb">GL03069</AVA_PG_Codice>
    <AVA_PG_TitoloGara xmlns="87994b8a-c787-467c-86ef-ad1ae42418d9">RAI - MANUT IMPIANTI ELETTRICI</AVA_PG_TitoloGara>
    <AVA_PG_NoteContratto xmlns="87994b8a-c787-467c-86ef-ad1ae42418d9" xsi:nil="true"/>
    <AVA_PG_Lotto xmlns="107f604f-3115-4c8a-809f-41a75283ef15" xsi:nil="true"/>
    <lcf76f155ced4ddcb4097134ff3c332f xmlns="dd3f85c4-4f23-4476-a43d-db21f552cb9f">
      <Terms xmlns="http://schemas.microsoft.com/office/infopath/2007/PartnerControls"/>
    </lcf76f155ced4ddcb4097134ff3c332f>
    <TaxCatchAll xmlns="31b67644-b584-4dc1-85b9-b7714bb669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i Commessa" ma:contentTypeID="0x0101005741292EF4050146ABF5EABC06890A3300D67A7C3FAB8FCD4CB36AD7FA469D0034" ma:contentTypeVersion="29" ma:contentTypeDescription="Creare un nuovo documento." ma:contentTypeScope="" ma:versionID="4c3d70f2d0dd50ac5661ea8b00f8694c">
  <xsd:schema xmlns:xsd="http://www.w3.org/2001/XMLSchema" xmlns:xs="http://www.w3.org/2001/XMLSchema" xmlns:p="http://schemas.microsoft.com/office/2006/metadata/properties" xmlns:ns2="1fc4161f-3a5a-415d-912b-31124825d917" xmlns:ns3="6908eeb8-3c36-4210-9307-9e951158dbeb" xmlns:ns4="87994b8a-c787-467c-86ef-ad1ae42418d9" xmlns:ns5="31b67644-b584-4dc1-85b9-b7714bb669ec" xmlns:ns6="dd3f85c4-4f23-4476-a43d-db21f552cb9f" xmlns:ns7="107f604f-3115-4c8a-809f-41a75283ef15" targetNamespace="http://schemas.microsoft.com/office/2006/metadata/properties" ma:root="true" ma:fieldsID="abb2073c5ec63777b56b3692a0a19b5f" ns2:_="" ns3:_="" ns4:_="" ns5:_="" ns6:_="" ns7:_="">
    <xsd:import namespace="1fc4161f-3a5a-415d-912b-31124825d917"/>
    <xsd:import namespace="6908eeb8-3c36-4210-9307-9e951158dbeb"/>
    <xsd:import namespace="87994b8a-c787-467c-86ef-ad1ae42418d9"/>
    <xsd:import namespace="31b67644-b584-4dc1-85b9-b7714bb669ec"/>
    <xsd:import namespace="dd3f85c4-4f23-4476-a43d-db21f552cb9f"/>
    <xsd:import namespace="107f604f-3115-4c8a-809f-41a75283ef15"/>
    <xsd:element name="properties">
      <xsd:complexType>
        <xsd:sequence>
          <xsd:element name="documentManagement">
            <xsd:complexType>
              <xsd:all>
                <xsd:element ref="ns2:AVA_PG_CodiceCommessa" minOccurs="0"/>
                <xsd:element ref="ns3:AVA_PG_ClienteEnte" minOccurs="0"/>
                <xsd:element ref="ns2:AVA_PG_Area" minOccurs="0"/>
                <xsd:element ref="ns4:AVA_PG_AnnoAcquisizione" minOccurs="0"/>
                <xsd:element ref="ns5:AVA_PG_ResponsabileCommessa" minOccurs="0"/>
                <xsd:element ref="ns4:AVA_PG_TitoloGara" minOccurs="0"/>
                <xsd:element ref="ns3:AVA_PG_Codice" minOccurs="0"/>
                <xsd:element ref="ns4:AVA_PG_StatoInvioCA" minOccurs="0"/>
                <xsd:element ref="ns4:AVA_PG_DescrizioneContratto" minOccurs="0"/>
                <xsd:element ref="ns4:AVA_PG_NoteContratto" minOccurs="0"/>
                <xsd:element ref="ns6:MediaServiceMetadata" minOccurs="0"/>
                <xsd:element ref="ns6:MediaServiceFastMetadata" minOccurs="0"/>
                <xsd:element ref="ns5:TaxCatchAll" minOccurs="0"/>
                <xsd:element ref="ns6:MediaServiceDateTaken" minOccurs="0"/>
                <xsd:element ref="ns6:MediaServiceGenerationTime" minOccurs="0"/>
                <xsd:element ref="ns6:MediaServiceEventHashCode" minOccurs="0"/>
                <xsd:element ref="ns6:lcf76f155ced4ddcb4097134ff3c332f" minOccurs="0"/>
                <xsd:element ref="ns6:MediaServiceOCR" minOccurs="0"/>
                <xsd:element ref="ns6:MediaLengthInSeconds" minOccurs="0"/>
                <xsd:element ref="ns6:MediaServiceLocation" minOccurs="0"/>
                <xsd:element ref="ns7:AVA_PG_Lotto" minOccurs="0"/>
                <xsd:element ref="ns6:_Flow_SignoffStatus" minOccurs="0"/>
                <xsd:element ref="ns6:MediaServiceObjectDetectorVersions" minOccurs="0"/>
                <xsd:element ref="ns6:MediaServiceSearchProperties" minOccurs="0"/>
                <xsd:element ref="ns6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4161f-3a5a-415d-912b-31124825d917" elementFormDefault="qualified">
    <xsd:import namespace="http://schemas.microsoft.com/office/2006/documentManagement/types"/>
    <xsd:import namespace="http://schemas.microsoft.com/office/infopath/2007/PartnerControls"/>
    <xsd:element name="AVA_PG_CodiceCommessa" ma:index="8" nillable="true" ma:displayName="ID Sale" ma:internalName="AVA_PG_CodiceCommessa">
      <xsd:simpleType>
        <xsd:restriction base="dms:Text">
          <xsd:maxLength value="255"/>
        </xsd:restriction>
      </xsd:simpleType>
    </xsd:element>
    <xsd:element name="AVA_PG_Area" ma:index="10" nillable="true" ma:displayName="Area" ma:internalName="AVA_PG_Are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8eeb8-3c36-4210-9307-9e951158dbeb" elementFormDefault="qualified">
    <xsd:import namespace="http://schemas.microsoft.com/office/2006/documentManagement/types"/>
    <xsd:import namespace="http://schemas.microsoft.com/office/infopath/2007/PartnerControls"/>
    <xsd:element name="AVA_PG_ClienteEnte" ma:index="9" nillable="true" ma:displayName="Customer" ma:internalName="AVA_PG_ClienteEnte">
      <xsd:simpleType>
        <xsd:restriction base="dms:Text">
          <xsd:maxLength value="255"/>
        </xsd:restriction>
      </xsd:simpleType>
    </xsd:element>
    <xsd:element name="AVA_PG_Codice" ma:index="14" nillable="true" ma:displayName="ID Opportunity" ma:internalName="AVA_PG_Codic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94b8a-c787-467c-86ef-ad1ae42418d9" elementFormDefault="qualified">
    <xsd:import namespace="http://schemas.microsoft.com/office/2006/documentManagement/types"/>
    <xsd:import namespace="http://schemas.microsoft.com/office/infopath/2007/PartnerControls"/>
    <xsd:element name="AVA_PG_AnnoAcquisizione" ma:index="11" nillable="true" ma:displayName="Acquisition Year" ma:internalName="AVA_PG_AnnoAcquisizione">
      <xsd:simpleType>
        <xsd:restriction base="dms:Text">
          <xsd:maxLength value="255"/>
        </xsd:restriction>
      </xsd:simpleType>
    </xsd:element>
    <xsd:element name="AVA_PG_TitoloGara" ma:index="13" nillable="true" ma:displayName="Opportunity Title" ma:internalName="AVA_PG_TitoloGara">
      <xsd:simpleType>
        <xsd:restriction base="dms:Text">
          <xsd:maxLength value="255"/>
        </xsd:restriction>
      </xsd:simpleType>
    </xsd:element>
    <xsd:element name="AVA_PG_StatoInvioCA" ma:index="15" nillable="true" ma:displayName="Sent to CA" ma:default="0" ma:internalName="AVA_PG_StatoInvioCA">
      <xsd:simpleType>
        <xsd:restriction base="dms:Boolean"/>
      </xsd:simpleType>
    </xsd:element>
    <xsd:element name="AVA_PG_DescrizioneContratto" ma:index="16" nillable="true" ma:displayName="Contract Description" ma:internalName="AVA_PG_DescrizioneContratto">
      <xsd:simpleType>
        <xsd:restriction base="dms:Note">
          <xsd:maxLength value="255"/>
        </xsd:restriction>
      </xsd:simpleType>
    </xsd:element>
    <xsd:element name="AVA_PG_NoteContratto" ma:index="17" nillable="true" ma:displayName="Contract Note" ma:internalName="AVA_PG_NoteContratt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67644-b584-4dc1-85b9-b7714bb669ec" elementFormDefault="qualified">
    <xsd:import namespace="http://schemas.microsoft.com/office/2006/documentManagement/types"/>
    <xsd:import namespace="http://schemas.microsoft.com/office/infopath/2007/PartnerControls"/>
    <xsd:element name="AVA_PG_ResponsabileCommessa" ma:index="12" nillable="true" ma:displayName="Sale Manager" ma:list="UserInfo" ma:SharePointGroup="0" ma:internalName="AVA_PG_ResponsabileCommess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65805cb7-14c6-4dce-9f24-d807d4da1c41}" ma:internalName="TaxCatchAll" ma:showField="CatchAllData" ma:web="31b67644-b584-4dc1-85b9-b7714bb66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f85c4-4f23-4476-a43d-db21f552cb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319bae4-8e9b-42b3-b17a-dce6163fc6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8" nillable="true" ma:displayName="Location" ma:internalName="MediaServiceLocation" ma:readOnly="true">
      <xsd:simpleType>
        <xsd:restriction base="dms:Text"/>
      </xsd:simpleType>
    </xsd:element>
    <xsd:element name="_Flow_SignoffStatus" ma:index="30" nillable="true" ma:displayName="Sign-off status" ma:internalName="Sign_x002d_off_x0020_status">
      <xsd:simpleType>
        <xsd:restriction base="dms:Text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f604f-3115-4c8a-809f-41a75283ef15" elementFormDefault="qualified">
    <xsd:import namespace="http://schemas.microsoft.com/office/2006/documentManagement/types"/>
    <xsd:import namespace="http://schemas.microsoft.com/office/infopath/2007/PartnerControls"/>
    <xsd:element name="AVA_PG_Lotto" ma:index="29" nillable="true" ma:displayName="Lot" ma:format="Dropdown" ma:internalName="AVA_PG_Lott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C5B32-7DAB-43D4-A2C3-E16929782C47}"/>
</file>

<file path=customXml/itemProps2.xml><?xml version="1.0" encoding="utf-8"?>
<ds:datastoreItem xmlns:ds="http://schemas.openxmlformats.org/officeDocument/2006/customXml" ds:itemID="{41B77BB4-1B65-4A52-BAED-6687042C50EF}"/>
</file>

<file path=customXml/itemProps3.xml><?xml version="1.0" encoding="utf-8"?>
<ds:datastoreItem xmlns:ds="http://schemas.openxmlformats.org/officeDocument/2006/customXml" ds:itemID="{B7DCCCFE-F4ED-4AE3-A47D-148D9623D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Pirelli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gattuem001</dc:creator>
  <cp:keywords/>
  <dc:description/>
  <cp:lastModifiedBy>Campagnoli Ivan Luca</cp:lastModifiedBy>
  <cp:revision/>
  <dcterms:created xsi:type="dcterms:W3CDTF">2008-01-09T11:56:10Z</dcterms:created>
  <dcterms:modified xsi:type="dcterms:W3CDTF">2026-06-24T11:45:10Z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0x0101005741292EF4050146ABF5EABC06890A3300D67A7C3FAB8FCD4CB36AD7FA469D0034</vt:lpwstr>
  </property>
  <property fmtid="{D5CDD505-2E9C-101B-9397-08002B2CF9AE}" pid="4" name="Order">
    <vt:r8>169500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