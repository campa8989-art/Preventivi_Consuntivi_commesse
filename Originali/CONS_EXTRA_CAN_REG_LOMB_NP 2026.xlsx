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nutencoop.sharepoint.com/sites/pg-rekeep/Commesse/FACI16442 - Sito Commessa RAI/01 - Operation/05 - Servizi/PREVENTIVI- CONSUNTIVI/EXTRA CANONE/CONS_MAT_EXTRA/01-CONS_MAT_EXTRA_CANONE Campagnoli/2026/02-CONS_EXTRA_CAN_REG_LOMB_NP_APR_MAG_GIU_2026/"/>
    </mc:Choice>
  </mc:AlternateContent>
  <xr:revisionPtr revIDLastSave="1742" documentId="8_{8AEC19B8-6AEC-4F73-A5AD-947DBB31975D}" xr6:coauthVersionLast="47" xr6:coauthVersionMax="47" xr10:uidLastSave="{FBEBBECF-16B9-4DC3-A8A6-948A09D03113}"/>
  <bookViews>
    <workbookView xWindow="-108" yWindow="-108" windowWidth="30936" windowHeight="16776" xr2:uid="{ACBF95A2-C7F7-40E8-A25D-B5E3754EAC26}"/>
  </bookViews>
  <sheets>
    <sheet name="RIEPILOGO CONSUNTIVI" sheetId="5" r:id="rId1"/>
    <sheet name="APRILE NP 2026" sheetId="1" r:id="rId2"/>
    <sheet name="MAGGIO NP 2026 " sheetId="4" r:id="rId3"/>
    <sheet name="GIUGNO NP 2026 " sheetId="3" r:id="rId4"/>
  </sheets>
  <definedNames>
    <definedName name="_xlnm.Print_Area" localSheetId="1">'APRILE NP 2026'!$A$2:$L$47</definedName>
    <definedName name="_xlnm.Print_Area" localSheetId="3">'GIUGNO NP 2026 '!$A$2:$L$59</definedName>
    <definedName name="_xlnm.Print_Area" localSheetId="2">'MAGGIO NP 2026 '!$A$2:$L$42</definedName>
    <definedName name="_xlnm.Print_Area" localSheetId="0">'RIEPILOGO CONSUNTIVI'!$A$2:$L$41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4" l="1"/>
  <c r="H27" i="4"/>
  <c r="I27" i="4" s="1"/>
  <c r="J27" i="4" s="1"/>
  <c r="K27" i="4" s="1"/>
  <c r="H57" i="3"/>
  <c r="I57" i="3" s="1"/>
  <c r="J57" i="3" s="1"/>
  <c r="K57" i="3" s="1"/>
  <c r="H56" i="3"/>
  <c r="I56" i="3" s="1"/>
  <c r="J56" i="3" s="1"/>
  <c r="K56" i="3" s="1"/>
  <c r="H55" i="3"/>
  <c r="I55" i="3" s="1"/>
  <c r="J55" i="3" s="1"/>
  <c r="K55" i="3" s="1"/>
  <c r="H54" i="3"/>
  <c r="I54" i="3" s="1"/>
  <c r="J54" i="3" s="1"/>
  <c r="K54" i="3" s="1"/>
  <c r="H48" i="3"/>
  <c r="I48" i="3" s="1"/>
  <c r="J48" i="3" s="1"/>
  <c r="K48" i="3" s="1"/>
  <c r="H47" i="3"/>
  <c r="I47" i="3" s="1"/>
  <c r="J47" i="3" s="1"/>
  <c r="K47" i="3" s="1"/>
  <c r="H46" i="3"/>
  <c r="I46" i="3" s="1"/>
  <c r="J46" i="3" s="1"/>
  <c r="K46" i="3" s="1"/>
  <c r="H45" i="3"/>
  <c r="I45" i="3" s="1"/>
  <c r="J45" i="3" s="1"/>
  <c r="K45" i="3" s="1"/>
  <c r="H44" i="3"/>
  <c r="I44" i="3" s="1"/>
  <c r="J44" i="3" s="1"/>
  <c r="K44" i="3" s="1"/>
  <c r="H34" i="3"/>
  <c r="I34" i="3" s="1"/>
  <c r="J34" i="3" s="1"/>
  <c r="K34" i="3" s="1"/>
  <c r="H35" i="3"/>
  <c r="I35" i="3" s="1"/>
  <c r="J35" i="3" s="1"/>
  <c r="K35" i="3" s="1"/>
  <c r="H33" i="3"/>
  <c r="I33" i="3" s="1"/>
  <c r="J33" i="3" s="1"/>
  <c r="K33" i="3" s="1"/>
  <c r="K58" i="3" l="1"/>
  <c r="H30" i="5"/>
  <c r="K30" i="5" s="1"/>
  <c r="H26" i="3"/>
  <c r="I26" i="3" s="1"/>
  <c r="J26" i="3" s="1"/>
  <c r="K26" i="3" s="1"/>
  <c r="K26" i="5"/>
  <c r="M23" i="5"/>
  <c r="N23" i="5" s="1"/>
  <c r="O23" i="5" s="1"/>
  <c r="H34" i="4"/>
  <c r="I34" i="4" s="1"/>
  <c r="J34" i="4" s="1"/>
  <c r="K34" i="4" s="1"/>
  <c r="K35" i="4" s="1"/>
  <c r="H27" i="5" s="1"/>
  <c r="K27" i="5" l="1"/>
  <c r="H26" i="4" l="1"/>
  <c r="I26" i="4" s="1"/>
  <c r="J26" i="4" s="1"/>
  <c r="K26" i="4" s="1"/>
  <c r="H25" i="4"/>
  <c r="I25" i="4" s="1"/>
  <c r="J25" i="4" s="1"/>
  <c r="K25" i="4" s="1"/>
  <c r="H24" i="4"/>
  <c r="I24" i="4" s="1"/>
  <c r="J24" i="4" s="1"/>
  <c r="K24" i="4" s="1"/>
  <c r="M23" i="4"/>
  <c r="N23" i="4" s="1"/>
  <c r="O23" i="4" s="1"/>
  <c r="H23" i="4"/>
  <c r="I23" i="4" s="1"/>
  <c r="J23" i="4" s="1"/>
  <c r="K23" i="4" s="1"/>
  <c r="M43" i="3" l="1"/>
  <c r="N43" i="3" s="1"/>
  <c r="O43" i="3" s="1"/>
  <c r="H43" i="3"/>
  <c r="I43" i="3" s="1"/>
  <c r="J43" i="3" s="1"/>
  <c r="K43" i="3" s="1"/>
  <c r="K49" i="3" s="1"/>
  <c r="H29" i="5" s="1"/>
  <c r="K29" i="5" s="1"/>
  <c r="H32" i="3"/>
  <c r="I32" i="3" s="1"/>
  <c r="J32" i="3" s="1"/>
  <c r="K32" i="3" s="1"/>
  <c r="H31" i="3"/>
  <c r="I31" i="3" s="1"/>
  <c r="J31" i="3" s="1"/>
  <c r="K31" i="3" s="1"/>
  <c r="H30" i="3"/>
  <c r="I30" i="3" s="1"/>
  <c r="J30" i="3" s="1"/>
  <c r="K30" i="3" s="1"/>
  <c r="H27" i="3"/>
  <c r="I27" i="3" s="1"/>
  <c r="J27" i="3" s="1"/>
  <c r="K27" i="3" s="1"/>
  <c r="H29" i="3"/>
  <c r="I29" i="3" s="1"/>
  <c r="J29" i="3" s="1"/>
  <c r="K29" i="3" s="1"/>
  <c r="H28" i="3"/>
  <c r="I28" i="3" s="1"/>
  <c r="J28" i="3" s="1"/>
  <c r="K28" i="3" s="1"/>
  <c r="H25" i="3"/>
  <c r="I25" i="3" s="1"/>
  <c r="J25" i="3" s="1"/>
  <c r="K25" i="3" s="1"/>
  <c r="H24" i="3"/>
  <c r="I24" i="3" s="1"/>
  <c r="J24" i="3" s="1"/>
  <c r="K24" i="3" s="1"/>
  <c r="M23" i="3"/>
  <c r="N23" i="3" s="1"/>
  <c r="O23" i="3" s="1"/>
  <c r="H23" i="3"/>
  <c r="I23" i="3" s="1"/>
  <c r="J23" i="3" s="1"/>
  <c r="K23" i="3" s="1"/>
  <c r="M39" i="1"/>
  <c r="N39" i="1" s="1"/>
  <c r="O39" i="1" s="1"/>
  <c r="H39" i="1"/>
  <c r="I39" i="1" s="1"/>
  <c r="J39" i="1" s="1"/>
  <c r="K39" i="1" s="1"/>
  <c r="K40" i="1" s="1"/>
  <c r="H24" i="5" s="1"/>
  <c r="K24" i="5" s="1"/>
  <c r="H32" i="1"/>
  <c r="I32" i="1" s="1"/>
  <c r="J32" i="1" s="1"/>
  <c r="K32" i="1" s="1"/>
  <c r="H31" i="1"/>
  <c r="I31" i="1" s="1"/>
  <c r="J31" i="1" s="1"/>
  <c r="K31" i="1" s="1"/>
  <c r="H30" i="1"/>
  <c r="I30" i="1" s="1"/>
  <c r="J30" i="1" s="1"/>
  <c r="K30" i="1" s="1"/>
  <c r="H29" i="1"/>
  <c r="I29" i="1" s="1"/>
  <c r="J29" i="1" s="1"/>
  <c r="K29" i="1" s="1"/>
  <c r="H28" i="1"/>
  <c r="I28" i="1" s="1"/>
  <c r="J28" i="1" s="1"/>
  <c r="K28" i="1" s="1"/>
  <c r="H27" i="1"/>
  <c r="I27" i="1" s="1"/>
  <c r="J27" i="1" s="1"/>
  <c r="K27" i="1" s="1"/>
  <c r="H26" i="1"/>
  <c r="I26" i="1" s="1"/>
  <c r="J26" i="1" s="1"/>
  <c r="K26" i="1" s="1"/>
  <c r="H25" i="1"/>
  <c r="I25" i="1" s="1"/>
  <c r="J25" i="1" s="1"/>
  <c r="K25" i="1" s="1"/>
  <c r="H24" i="1"/>
  <c r="I24" i="1" s="1"/>
  <c r="J24" i="1" s="1"/>
  <c r="K24" i="1" s="1"/>
  <c r="M23" i="1"/>
  <c r="N23" i="1" s="1"/>
  <c r="O23" i="1" s="1"/>
  <c r="H23" i="1"/>
  <c r="I23" i="1" s="1"/>
  <c r="J23" i="1" s="1"/>
  <c r="K23" i="1" s="1"/>
  <c r="K41" i="4" l="1"/>
  <c r="H25" i="5"/>
  <c r="K25" i="5" s="1"/>
  <c r="K37" i="3"/>
  <c r="K33" i="1"/>
  <c r="K42" i="1" l="1"/>
  <c r="H23" i="5"/>
  <c r="K23" i="5" s="1"/>
  <c r="H28" i="5"/>
  <c r="K28" i="5" s="1"/>
  <c r="K63" i="3"/>
  <c r="K31" i="5" l="1"/>
</calcChain>
</file>

<file path=xl/sharedStrings.xml><?xml version="1.0" encoding="utf-8"?>
<sst xmlns="http://schemas.openxmlformats.org/spreadsheetml/2006/main" count="256" uniqueCount="63">
  <si>
    <r>
      <t>Spett.le</t>
    </r>
    <r>
      <rPr>
        <b/>
        <sz val="14"/>
        <rFont val="Arial"/>
        <family val="2"/>
      </rPr>
      <t/>
    </r>
  </si>
  <si>
    <t>DIREZIONE OPERATION - AREA LOMBARDIA</t>
  </si>
  <si>
    <t>c.a:</t>
  </si>
  <si>
    <t>RIPA ANTONIO</t>
  </si>
  <si>
    <t>TASSINI DAVIDE</t>
  </si>
  <si>
    <t>DATA:</t>
  </si>
  <si>
    <t>COMMITTENTE: RAI</t>
  </si>
  <si>
    <t>CONS.</t>
  </si>
  <si>
    <r>
      <t>PRESIDIO:</t>
    </r>
    <r>
      <rPr>
        <b/>
        <u/>
        <sz val="12"/>
        <rFont val="Arial"/>
        <family val="2"/>
      </rPr>
      <t xml:space="preserve"> RAI MILANO</t>
    </r>
  </si>
  <si>
    <t>ODL:</t>
  </si>
  <si>
    <t>AREA INTERVENTO: C.so Sempione 27 (MI)</t>
  </si>
  <si>
    <t>MANUTENZIONE  EXTRA CANONE</t>
  </si>
  <si>
    <t>OGGETTO: RIEPILOGO CONSUNTIVI LAVORAZIONI EXTRA CANONE APRILE-MAGGIO-GIUGNO 2026</t>
  </si>
  <si>
    <t>COMPUTO  METRICO  ESTIMATIVO</t>
  </si>
  <si>
    <t>NUMERO RAPPORTO DI LAVORO REKEEP</t>
  </si>
  <si>
    <t>PREZIARIO REGIONE LOMBARDIA 2022</t>
  </si>
  <si>
    <t>NUOVO PREZZO</t>
  </si>
  <si>
    <t>IMPORTO</t>
  </si>
  <si>
    <t>RAPPORTO DI LAVORO N° : 0155952/22</t>
  </si>
  <si>
    <t xml:space="preserve">RAPPORTO DI LAVORO N° : </t>
  </si>
  <si>
    <t>RAPPORTO DI LAVORO N°:  0155963/22</t>
  </si>
  <si>
    <t xml:space="preserve">RAPPORTO DI LAVORO N°: </t>
  </si>
  <si>
    <t>RAPPORTO DI LAVORO N°:  0155973/22</t>
  </si>
  <si>
    <t xml:space="preserve"> RAPPORTO DI LAVORO N° </t>
  </si>
  <si>
    <t>Totale</t>
  </si>
  <si>
    <t>OGGETTO: CONSUNTIVO LAVORAZIONI EXTRA CANONE APRILE 2026</t>
  </si>
  <si>
    <t>RAPPORTO DI LAVORO N°: 0155952/22</t>
  </si>
  <si>
    <t>Listino</t>
  </si>
  <si>
    <t>Voci</t>
  </si>
  <si>
    <t>Descrizione sintetica delle lavorazioni</t>
  </si>
  <si>
    <t>U.M.</t>
  </si>
  <si>
    <t>Q.tà</t>
  </si>
  <si>
    <t>Prezzo unitario</t>
  </si>
  <si>
    <t>Incr. 15% contrattuale</t>
  </si>
  <si>
    <t>Sconto Gara 31%</t>
  </si>
  <si>
    <t>PU Scontato</t>
  </si>
  <si>
    <t xml:space="preserve">Totale       </t>
  </si>
  <si>
    <t>nuovo prezzo</t>
  </si>
  <si>
    <t>sacchi extra 24_4_26 ALIM_DALI</t>
  </si>
  <si>
    <t>HFL75W-900-1800 DALI -ALIM DA</t>
  </si>
  <si>
    <t>cad</t>
  </si>
  <si>
    <t>m</t>
  </si>
  <si>
    <t xml:space="preserve">RAPPORTO DI LAVORO N° :  </t>
  </si>
  <si>
    <t>n.</t>
  </si>
  <si>
    <t>OGGETTO: CONSUNTIVO LAVORAZIONI EXTRA CANONE MAGGIO 2026</t>
  </si>
  <si>
    <t xml:space="preserve">ST 5313 - RAPPORTO DI LAVORO N°: 0155963/22 DEL 19/05/26 </t>
  </si>
  <si>
    <t>sacchi extracan 18-05-26-19052026091102</t>
  </si>
  <si>
    <t>CSP-N 75X17 G CAN. PAVIMENTO</t>
  </si>
  <si>
    <t>BTICINO - BTIS2020DE SPINA 2P+T ST. FRANCO_TED ORIENT SSPAZ B - S2020DE</t>
  </si>
  <si>
    <t>BTICINO - BTIS2020DE SPINA 2P+T ST. FRANCO/TED ORIENT SSPAZ B - S2020DE</t>
  </si>
  <si>
    <t>DDT 8046428845 - R026011615</t>
  </si>
  <si>
    <t>SPINA RJ45 8P8C CAT6 SCH.FLEX</t>
  </si>
  <si>
    <t>DDT 8046489037 - R026011617</t>
  </si>
  <si>
    <t>CAT6 - CABLE U/UTP LSOH 23 AWG B</t>
  </si>
  <si>
    <t>M</t>
  </si>
  <si>
    <t>SACCHI 04-02-26 extrac. ray way-05022026080203</t>
  </si>
  <si>
    <t>CAVO 3G2,5 BTFS180R18 450/750V 3G2,5MMQ</t>
  </si>
  <si>
    <r>
      <t>PRESIDIO:</t>
    </r>
    <r>
      <rPr>
        <b/>
        <u/>
        <sz val="12"/>
        <rFont val="Aptos"/>
        <family val="2"/>
      </rPr>
      <t xml:space="preserve"> RAI MILANO</t>
    </r>
  </si>
  <si>
    <t>OGGETTO: CONSUNTIVO LAVORAZIONI EXTRA CANONE GIUGNO 2026</t>
  </si>
  <si>
    <t>RAPPORTO DI LAVORO N°: 0155973/22 DEL 15/06/2026</t>
  </si>
  <si>
    <t>sonepar extr 12-06-26-alim.led corridoi</t>
  </si>
  <si>
    <t>ALIM. LED TENS. COSTANTE 200W 24VDC DALI</t>
  </si>
  <si>
    <t xml:space="preserve">RAPPORTO DI LAVORO N°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</si>
</sst>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* #,##0.00\ &quot;€&quot;_-;\-* #,##0.00\ &quot;€&quot;_-;_-* &quot;-&quot;??\ &quot;€&quot;_-;_-@_-"/>
    <numFmt numFmtId="164" formatCode="0.0%"/>
    <numFmt numFmtId="165" formatCode="_-[$€-2]\ * #,##0.00_-;\-[$€-2]\ * #,##0.00_-;_-[$€-2]\ * &quot;-&quot;??_-"/>
    <numFmt numFmtId="166" formatCode="_-* #,##0.0000\ &quot;€&quot;_-;\-* #,##0.0000\ &quot;€&quot;_-;_-* &quot;-&quot;????\ &quot;€&quot;_-;_-@_-"/>
    <numFmt numFmtId="167" formatCode="_([$€-2]\ * #,##0.00_);_([$€-2]\ * \(#,##0.00\);_([$€-2]\ * &quot;-&quot;??_);_(@_)"/>
    <numFmt numFmtId="168" formatCode="_-[$€-2]\ * #,##0.00_-;\-[$€-2]\ * #,##0.00_-;_-[$€-2]\ * &quot;-&quot;??_-;_-@_-"/>
    <numFmt numFmtId="169" formatCode="_-[$€-2]\ * #,##0.000_-;\-[$€-2]\ * #,##0.000_-;_-[$€-2]\ * &quot;-&quot;??_-"/>
    <numFmt numFmtId="170" formatCode="[$€-2]\ #,##0.00;[Red]\-[$€-2]\ #,##0.00"/>
  </numFmts>
  <fonts count="56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u val="singleAccounting"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3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0"/>
      <color theme="0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1"/>
      <color rgb="FF202020"/>
      <name val="Lato"/>
      <family val="2"/>
      <charset val="1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6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sz val="16"/>
      <name val="Calibri"/>
      <family val="2"/>
      <scheme val="minor"/>
    </font>
    <font>
      <b/>
      <sz val="16"/>
      <name val="Arial"/>
      <family val="2"/>
    </font>
    <font>
      <sz val="20"/>
      <color rgb="FFFF0000"/>
      <name val="Aptos"/>
    </font>
    <font>
      <sz val="20"/>
      <color rgb="FF00B0F0"/>
      <name val="Aptos"/>
    </font>
    <font>
      <b/>
      <sz val="14"/>
      <name val="Aptos"/>
    </font>
    <font>
      <sz val="20"/>
      <color rgb="FF00B050"/>
      <name val="Aptos"/>
    </font>
    <font>
      <sz val="10"/>
      <name val="Aptos"/>
      <family val="2"/>
    </font>
    <font>
      <sz val="16"/>
      <name val="Aptos"/>
      <family val="2"/>
    </font>
    <font>
      <u/>
      <sz val="16"/>
      <color theme="10"/>
      <name val="Aptos"/>
      <family val="2"/>
    </font>
    <font>
      <u/>
      <sz val="14"/>
      <color theme="10"/>
      <name val="Aptos"/>
      <family val="2"/>
    </font>
    <font>
      <sz val="20"/>
      <name val="Aptos"/>
      <family val="2"/>
    </font>
    <font>
      <b/>
      <sz val="11"/>
      <color rgb="FF202020"/>
      <name val="Aptos"/>
      <family val="2"/>
    </font>
    <font>
      <b/>
      <sz val="14"/>
      <name val="Aptos"/>
      <family val="2"/>
    </font>
    <font>
      <b/>
      <sz val="10"/>
      <name val="Aptos"/>
      <family val="2"/>
    </font>
    <font>
      <u/>
      <sz val="10"/>
      <name val="Aptos"/>
      <family val="2"/>
    </font>
    <font>
      <sz val="12"/>
      <name val="Aptos"/>
      <family val="2"/>
    </font>
    <font>
      <u/>
      <sz val="12"/>
      <name val="Aptos"/>
      <family val="2"/>
    </font>
    <font>
      <b/>
      <sz val="12"/>
      <name val="Aptos"/>
      <family val="2"/>
    </font>
    <font>
      <u val="singleAccounting"/>
      <sz val="9"/>
      <name val="Aptos"/>
      <family val="2"/>
    </font>
    <font>
      <b/>
      <sz val="9"/>
      <name val="Aptos"/>
      <family val="2"/>
    </font>
    <font>
      <b/>
      <u/>
      <sz val="12"/>
      <name val="Aptos"/>
      <family val="2"/>
    </font>
    <font>
      <sz val="13"/>
      <name val="Aptos"/>
      <family val="2"/>
    </font>
    <font>
      <sz val="9"/>
      <name val="Aptos"/>
      <family val="2"/>
    </font>
    <font>
      <u/>
      <sz val="20"/>
      <color theme="10"/>
      <name val="Aptos"/>
      <family val="2"/>
    </font>
    <font>
      <b/>
      <sz val="11"/>
      <name val="Aptos"/>
      <family val="2"/>
    </font>
    <font>
      <sz val="14"/>
      <name val="Aptos"/>
      <family val="2"/>
    </font>
    <font>
      <sz val="14"/>
      <color rgb="FF16171D"/>
      <name val="Arial"/>
      <family val="2"/>
    </font>
    <font>
      <sz val="20"/>
      <color rgb="FF00B050"/>
      <name val="Aptos"/>
      <family val="2"/>
    </font>
    <font>
      <sz val="24"/>
      <color theme="1"/>
      <name val="Calibri"/>
      <family val="2"/>
      <scheme val="minor"/>
    </font>
    <font>
      <sz val="18"/>
      <color rgb="FF16171D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20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/>
    </xf>
    <xf numFmtId="0" fontId="3" fillId="0" borderId="0" xfId="1" applyFont="1" applyAlignment="1">
      <alignment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justify" vertical="justify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5" fillId="0" borderId="0" xfId="1" applyFont="1"/>
    <xf numFmtId="0" fontId="3" fillId="0" borderId="0" xfId="1" applyFont="1" applyAlignment="1">
      <alignment horizontal="center" vertical="center" wrapText="1"/>
    </xf>
    <xf numFmtId="4" fontId="3" fillId="0" borderId="0" xfId="1" applyNumberFormat="1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4" fontId="3" fillId="0" borderId="0" xfId="1" applyNumberFormat="1" applyFont="1" applyAlignment="1">
      <alignment vertical="center" wrapText="1"/>
    </xf>
    <xf numFmtId="164" fontId="3" fillId="0" borderId="0" xfId="1" applyNumberFormat="1" applyFont="1" applyAlignment="1">
      <alignment vertical="center" wrapText="1"/>
    </xf>
    <xf numFmtId="0" fontId="5" fillId="0" borderId="0" xfId="1" applyFont="1" applyAlignment="1">
      <alignment horizontal="left" vertical="center"/>
    </xf>
    <xf numFmtId="4" fontId="3" fillId="0" borderId="0" xfId="1" applyNumberFormat="1" applyFont="1" applyAlignment="1">
      <alignment horizontal="left" vertical="center" wrapText="1"/>
    </xf>
    <xf numFmtId="164" fontId="3" fillId="0" borderId="0" xfId="1" applyNumberFormat="1" applyFont="1" applyAlignment="1">
      <alignment horizontal="left" vertical="center" wrapText="1"/>
    </xf>
    <xf numFmtId="41" fontId="6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0" borderId="0" xfId="1" applyFont="1"/>
    <xf numFmtId="0" fontId="8" fillId="0" borderId="0" xfId="1" applyFont="1" applyAlignment="1">
      <alignment horizontal="center" vertical="center"/>
    </xf>
    <xf numFmtId="41" fontId="9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166" fontId="2" fillId="0" borderId="9" xfId="2" applyNumberFormat="1" applyFont="1" applyFill="1" applyBorder="1" applyAlignment="1">
      <alignment horizontal="center" vertical="center" wrapText="1"/>
    </xf>
    <xf numFmtId="165" fontId="2" fillId="0" borderId="9" xfId="2" applyFont="1" applyFill="1" applyBorder="1" applyAlignment="1">
      <alignment horizontal="center" vertical="center" wrapText="1"/>
    </xf>
    <xf numFmtId="165" fontId="12" fillId="0" borderId="9" xfId="2" applyFont="1" applyBorder="1" applyAlignment="1">
      <alignment horizontal="center" vertical="center"/>
    </xf>
    <xf numFmtId="44" fontId="12" fillId="0" borderId="9" xfId="3" applyNumberFormat="1" applyFont="1" applyBorder="1" applyAlignment="1">
      <alignment vertical="center" wrapText="1"/>
    </xf>
    <xf numFmtId="167" fontId="12" fillId="0" borderId="9" xfId="1" applyNumberFormat="1" applyFont="1" applyBorder="1" applyAlignment="1">
      <alignment vertical="center"/>
    </xf>
    <xf numFmtId="168" fontId="13" fillId="0" borderId="0" xfId="1" applyNumberFormat="1" applyFont="1" applyAlignment="1">
      <alignment vertical="center"/>
    </xf>
    <xf numFmtId="168" fontId="3" fillId="0" borderId="0" xfId="1" applyNumberFormat="1" applyFont="1"/>
    <xf numFmtId="49" fontId="15" fillId="0" borderId="0" xfId="1" applyNumberFormat="1" applyFont="1" applyAlignment="1">
      <alignment vertical="center" textRotation="255" shrinkToFit="1"/>
    </xf>
    <xf numFmtId="0" fontId="16" fillId="0" borderId="0" xfId="1" applyFont="1"/>
    <xf numFmtId="165" fontId="3" fillId="0" borderId="0" xfId="2" applyFont="1" applyFill="1" applyBorder="1"/>
    <xf numFmtId="9" fontId="3" fillId="0" borderId="0" xfId="3" applyFont="1" applyBorder="1" applyAlignment="1">
      <alignment vertical="center" wrapText="1"/>
    </xf>
    <xf numFmtId="167" fontId="3" fillId="0" borderId="16" xfId="1" applyNumberFormat="1" applyFont="1" applyBorder="1" applyAlignment="1">
      <alignment vertical="center"/>
    </xf>
    <xf numFmtId="168" fontId="4" fillId="3" borderId="16" xfId="1" applyNumberFormat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49" fontId="20" fillId="0" borderId="6" xfId="1" applyNumberFormat="1" applyFont="1" applyBorder="1" applyAlignment="1">
      <alignment horizontal="center" vertical="center" textRotation="255" wrapText="1" shrinkToFit="1"/>
    </xf>
    <xf numFmtId="0" fontId="18" fillId="0" borderId="12" xfId="4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165" fontId="20" fillId="0" borderId="13" xfId="2" applyFont="1" applyBorder="1" applyAlignment="1">
      <alignment horizontal="center" vertical="center"/>
    </xf>
    <xf numFmtId="165" fontId="20" fillId="0" borderId="9" xfId="2" applyFont="1" applyBorder="1" applyAlignment="1">
      <alignment horizontal="center" vertical="center"/>
    </xf>
    <xf numFmtId="44" fontId="20" fillId="0" borderId="9" xfId="3" applyNumberFormat="1" applyFont="1" applyBorder="1" applyAlignment="1">
      <alignment vertical="center" wrapText="1"/>
    </xf>
    <xf numFmtId="167" fontId="20" fillId="0" borderId="9" xfId="1" applyNumberFormat="1" applyFont="1" applyBorder="1" applyAlignment="1">
      <alignment vertical="center"/>
    </xf>
    <xf numFmtId="44" fontId="20" fillId="0" borderId="12" xfId="3" applyNumberFormat="1" applyFont="1" applyBorder="1" applyAlignment="1">
      <alignment vertical="center" wrapText="1"/>
    </xf>
    <xf numFmtId="44" fontId="20" fillId="0" borderId="13" xfId="3" applyNumberFormat="1" applyFont="1" applyBorder="1" applyAlignment="1">
      <alignment vertical="center" wrapText="1"/>
    </xf>
    <xf numFmtId="168" fontId="20" fillId="0" borderId="6" xfId="1" applyNumberFormat="1" applyFont="1" applyBorder="1" applyAlignment="1">
      <alignment vertical="center"/>
    </xf>
    <xf numFmtId="167" fontId="20" fillId="0" borderId="13" xfId="1" applyNumberFormat="1" applyFont="1" applyBorder="1" applyAlignment="1">
      <alignment vertical="center"/>
    </xf>
    <xf numFmtId="49" fontId="20" fillId="0" borderId="14" xfId="1" applyNumberFormat="1" applyFont="1" applyBorder="1" applyAlignment="1">
      <alignment horizontal="center" vertical="center" textRotation="255" wrapText="1" shrinkToFit="1"/>
    </xf>
    <xf numFmtId="0" fontId="18" fillId="0" borderId="13" xfId="4" applyFont="1" applyBorder="1" applyAlignment="1">
      <alignment horizontal="center" vertical="center" wrapText="1"/>
    </xf>
    <xf numFmtId="44" fontId="20" fillId="0" borderId="6" xfId="3" applyNumberFormat="1" applyFont="1" applyBorder="1" applyAlignment="1">
      <alignment vertical="center" wrapText="1"/>
    </xf>
    <xf numFmtId="168" fontId="20" fillId="0" borderId="15" xfId="1" applyNumberFormat="1" applyFont="1" applyBorder="1" applyAlignment="1">
      <alignment vertical="center"/>
    </xf>
    <xf numFmtId="167" fontId="20" fillId="0" borderId="6" xfId="1" applyNumberFormat="1" applyFont="1" applyBorder="1" applyAlignment="1">
      <alignment vertical="center"/>
    </xf>
    <xf numFmtId="0" fontId="20" fillId="0" borderId="6" xfId="1" applyFont="1" applyBorder="1" applyAlignment="1">
      <alignment horizontal="center" vertical="center" wrapText="1"/>
    </xf>
    <xf numFmtId="165" fontId="20" fillId="0" borderId="6" xfId="2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167" fontId="3" fillId="0" borderId="22" xfId="1" applyNumberFormat="1" applyFont="1" applyBorder="1" applyAlignment="1">
      <alignment vertical="center"/>
    </xf>
    <xf numFmtId="168" fontId="4" fillId="3" borderId="23" xfId="1" applyNumberFormat="1" applyFont="1" applyFill="1" applyBorder="1" applyAlignment="1">
      <alignment horizontal="center" vertical="center" wrapText="1"/>
    </xf>
    <xf numFmtId="1" fontId="20" fillId="0" borderId="13" xfId="1" applyNumberFormat="1" applyFont="1" applyBorder="1" applyAlignment="1">
      <alignment horizontal="center" vertical="center"/>
    </xf>
    <xf numFmtId="1" fontId="20" fillId="0" borderId="6" xfId="1" applyNumberFormat="1" applyFont="1" applyBorder="1" applyAlignment="1">
      <alignment horizontal="center" vertical="center"/>
    </xf>
    <xf numFmtId="1" fontId="12" fillId="0" borderId="9" xfId="1" applyNumberFormat="1" applyFont="1" applyBorder="1" applyAlignment="1">
      <alignment horizontal="center" vertical="center"/>
    </xf>
    <xf numFmtId="16" fontId="10" fillId="0" borderId="0" xfId="1" applyNumberFormat="1" applyFont="1" applyAlignment="1">
      <alignment horizontal="center"/>
    </xf>
    <xf numFmtId="0" fontId="14" fillId="0" borderId="0" xfId="1" applyFont="1" applyAlignment="1">
      <alignment horizontal="center" vertical="center"/>
    </xf>
    <xf numFmtId="0" fontId="20" fillId="0" borderId="9" xfId="1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7" fontId="20" fillId="0" borderId="27" xfId="1" applyNumberFormat="1" applyFont="1" applyBorder="1" applyAlignment="1">
      <alignment vertical="center"/>
    </xf>
    <xf numFmtId="0" fontId="12" fillId="0" borderId="19" xfId="1" applyFont="1" applyBorder="1" applyAlignment="1">
      <alignment horizontal="center" vertical="center" wrapText="1"/>
    </xf>
    <xf numFmtId="1" fontId="12" fillId="0" borderId="21" xfId="1" applyNumberFormat="1" applyFont="1" applyBorder="1" applyAlignment="1">
      <alignment horizontal="center" vertical="center"/>
    </xf>
    <xf numFmtId="0" fontId="23" fillId="0" borderId="19" xfId="1" applyFont="1" applyBorder="1" applyAlignment="1">
      <alignment horizontal="center" vertical="center" wrapText="1"/>
    </xf>
    <xf numFmtId="1" fontId="20" fillId="0" borderId="27" xfId="1" applyNumberFormat="1" applyFont="1" applyBorder="1" applyAlignment="1">
      <alignment horizontal="center" vertical="center"/>
    </xf>
    <xf numFmtId="167" fontId="24" fillId="0" borderId="16" xfId="1" applyNumberFormat="1" applyFont="1" applyBorder="1" applyAlignment="1">
      <alignment vertical="center"/>
    </xf>
    <xf numFmtId="0" fontId="29" fillId="0" borderId="0" xfId="1" applyFont="1"/>
    <xf numFmtId="49" fontId="30" fillId="0" borderId="6" xfId="1" applyNumberFormat="1" applyFont="1" applyBorder="1" applyAlignment="1">
      <alignment horizontal="center" vertical="center" textRotation="255" wrapText="1" shrinkToFit="1"/>
    </xf>
    <xf numFmtId="0" fontId="30" fillId="0" borderId="13" xfId="1" applyFont="1" applyBorder="1" applyAlignment="1">
      <alignment horizontal="center" vertical="center" wrapText="1"/>
    </xf>
    <xf numFmtId="0" fontId="30" fillId="0" borderId="9" xfId="1" applyFont="1" applyBorder="1" applyAlignment="1">
      <alignment horizontal="center" vertical="center" wrapText="1"/>
    </xf>
    <xf numFmtId="1" fontId="30" fillId="0" borderId="13" xfId="1" applyNumberFormat="1" applyFont="1" applyBorder="1" applyAlignment="1">
      <alignment horizontal="center" vertical="center"/>
    </xf>
    <xf numFmtId="165" fontId="30" fillId="0" borderId="13" xfId="2" applyFont="1" applyBorder="1" applyAlignment="1">
      <alignment horizontal="center" vertical="center"/>
    </xf>
    <xf numFmtId="165" fontId="30" fillId="0" borderId="9" xfId="2" applyFont="1" applyBorder="1" applyAlignment="1">
      <alignment horizontal="center" vertical="center"/>
    </xf>
    <xf numFmtId="44" fontId="30" fillId="0" borderId="9" xfId="3" applyNumberFormat="1" applyFont="1" applyBorder="1" applyAlignment="1">
      <alignment vertical="center" wrapText="1"/>
    </xf>
    <xf numFmtId="167" fontId="30" fillId="0" borderId="9" xfId="1" applyNumberFormat="1" applyFont="1" applyBorder="1" applyAlignment="1">
      <alignment vertical="center"/>
    </xf>
    <xf numFmtId="49" fontId="30" fillId="0" borderId="14" xfId="1" applyNumberFormat="1" applyFont="1" applyBorder="1" applyAlignment="1">
      <alignment horizontal="center" vertical="center" textRotation="255" wrapText="1" shrinkToFit="1"/>
    </xf>
    <xf numFmtId="0" fontId="32" fillId="0" borderId="13" xfId="4" applyFont="1" applyBorder="1" applyAlignment="1">
      <alignment horizontal="center" vertical="center" wrapText="1"/>
    </xf>
    <xf numFmtId="169" fontId="30" fillId="0" borderId="13" xfId="2" applyNumberFormat="1" applyFont="1" applyBorder="1" applyAlignment="1">
      <alignment horizontal="center" vertical="center"/>
    </xf>
    <xf numFmtId="44" fontId="30" fillId="0" borderId="12" xfId="3" applyNumberFormat="1" applyFont="1" applyBorder="1" applyAlignment="1">
      <alignment vertical="center" wrapText="1"/>
    </xf>
    <xf numFmtId="44" fontId="30" fillId="0" borderId="13" xfId="3" applyNumberFormat="1" applyFont="1" applyBorder="1" applyAlignment="1">
      <alignment vertical="center" wrapText="1"/>
    </xf>
    <xf numFmtId="168" fontId="30" fillId="0" borderId="6" xfId="1" applyNumberFormat="1" applyFont="1" applyBorder="1" applyAlignment="1">
      <alignment vertical="center"/>
    </xf>
    <xf numFmtId="167" fontId="30" fillId="0" borderId="13" xfId="1" applyNumberFormat="1" applyFont="1" applyBorder="1" applyAlignment="1">
      <alignment vertical="center"/>
    </xf>
    <xf numFmtId="168" fontId="30" fillId="0" borderId="0" xfId="1" applyNumberFormat="1" applyFont="1" applyAlignment="1">
      <alignment vertical="center"/>
    </xf>
    <xf numFmtId="167" fontId="30" fillId="0" borderId="12" xfId="1" applyNumberFormat="1" applyFont="1" applyBorder="1" applyAlignment="1">
      <alignment vertical="center"/>
    </xf>
    <xf numFmtId="0" fontId="30" fillId="0" borderId="0" xfId="1" applyFont="1" applyAlignment="1">
      <alignment horizontal="center" vertical="center" wrapText="1"/>
    </xf>
    <xf numFmtId="1" fontId="30" fillId="0" borderId="9" xfId="1" applyNumberFormat="1" applyFont="1" applyBorder="1" applyAlignment="1">
      <alignment horizontal="center" vertical="center"/>
    </xf>
    <xf numFmtId="168" fontId="30" fillId="0" borderId="9" xfId="1" applyNumberFormat="1" applyFont="1" applyBorder="1" applyAlignment="1">
      <alignment vertical="center"/>
    </xf>
    <xf numFmtId="0" fontId="30" fillId="0" borderId="27" xfId="1" applyFont="1" applyBorder="1" applyAlignment="1">
      <alignment horizontal="center" vertical="center" wrapText="1"/>
    </xf>
    <xf numFmtId="1" fontId="30" fillId="0" borderId="6" xfId="1" applyNumberFormat="1" applyFont="1" applyBorder="1" applyAlignment="1">
      <alignment horizontal="center" vertical="center"/>
    </xf>
    <xf numFmtId="165" fontId="30" fillId="0" borderId="6" xfId="2" applyFont="1" applyBorder="1" applyAlignment="1">
      <alignment horizontal="center" vertical="center"/>
    </xf>
    <xf numFmtId="44" fontId="30" fillId="0" borderId="6" xfId="3" applyNumberFormat="1" applyFont="1" applyBorder="1" applyAlignment="1">
      <alignment vertical="center" wrapText="1"/>
    </xf>
    <xf numFmtId="168" fontId="30" fillId="0" borderId="15" xfId="1" applyNumberFormat="1" applyFont="1" applyBorder="1" applyAlignment="1">
      <alignment vertical="center"/>
    </xf>
    <xf numFmtId="167" fontId="30" fillId="0" borderId="6" xfId="1" applyNumberFormat="1" applyFont="1" applyBorder="1" applyAlignment="1">
      <alignment vertical="center"/>
    </xf>
    <xf numFmtId="0" fontId="31" fillId="0" borderId="18" xfId="4" applyFont="1" applyBorder="1" applyAlignment="1">
      <alignment horizontal="center" vertical="center" wrapText="1"/>
    </xf>
    <xf numFmtId="0" fontId="30" fillId="0" borderId="6" xfId="1" applyFont="1" applyBorder="1" applyAlignment="1">
      <alignment horizontal="center" vertical="center" wrapText="1"/>
    </xf>
    <xf numFmtId="1" fontId="30" fillId="0" borderId="16" xfId="1" applyNumberFormat="1" applyFont="1" applyBorder="1" applyAlignment="1">
      <alignment horizontal="center" vertical="center"/>
    </xf>
    <xf numFmtId="165" fontId="30" fillId="0" borderId="16" xfId="2" applyFont="1" applyBorder="1" applyAlignment="1">
      <alignment horizontal="center" vertical="center"/>
    </xf>
    <xf numFmtId="44" fontId="30" fillId="0" borderId="16" xfId="3" applyNumberFormat="1" applyFont="1" applyBorder="1" applyAlignment="1">
      <alignment vertical="center" wrapText="1"/>
    </xf>
    <xf numFmtId="167" fontId="30" fillId="0" borderId="16" xfId="1" applyNumberFormat="1" applyFont="1" applyBorder="1" applyAlignment="1">
      <alignment vertical="center"/>
    </xf>
    <xf numFmtId="0" fontId="31" fillId="0" borderId="9" xfId="4" applyFont="1" applyBorder="1" applyAlignment="1">
      <alignment horizontal="center" vertical="center" wrapText="1"/>
    </xf>
    <xf numFmtId="0" fontId="31" fillId="0" borderId="34" xfId="4" applyFont="1" applyBorder="1" applyAlignment="1">
      <alignment horizontal="center" vertical="center" wrapText="1"/>
    </xf>
    <xf numFmtId="0" fontId="31" fillId="0" borderId="33" xfId="4" applyFont="1" applyBorder="1" applyAlignment="1">
      <alignment horizontal="center" vertical="center" wrapText="1"/>
    </xf>
    <xf numFmtId="0" fontId="30" fillId="0" borderId="12" xfId="1" applyFont="1" applyBorder="1" applyAlignment="1">
      <alignment horizontal="center" vertical="center" wrapText="1"/>
    </xf>
    <xf numFmtId="0" fontId="30" fillId="0" borderId="35" xfId="1" applyFont="1" applyBorder="1" applyAlignment="1">
      <alignment horizontal="center" vertical="center" wrapText="1"/>
    </xf>
    <xf numFmtId="1" fontId="30" fillId="0" borderId="12" xfId="1" applyNumberFormat="1" applyFont="1" applyBorder="1" applyAlignment="1">
      <alignment horizontal="center" vertical="center"/>
    </xf>
    <xf numFmtId="165" fontId="30" fillId="0" borderId="12" xfId="2" applyFont="1" applyBorder="1" applyAlignment="1">
      <alignment horizontal="center" vertical="center"/>
    </xf>
    <xf numFmtId="49" fontId="30" fillId="0" borderId="24" xfId="1" applyNumberFormat="1" applyFont="1" applyBorder="1" applyAlignment="1">
      <alignment horizontal="center" vertical="center" textRotation="255" wrapText="1" shrinkToFit="1"/>
    </xf>
    <xf numFmtId="168" fontId="30" fillId="0" borderId="13" xfId="1" applyNumberFormat="1" applyFont="1" applyBorder="1" applyAlignment="1">
      <alignment vertical="center"/>
    </xf>
    <xf numFmtId="49" fontId="30" fillId="0" borderId="36" xfId="1" applyNumberFormat="1" applyFont="1" applyBorder="1" applyAlignment="1">
      <alignment horizontal="center" vertical="center" textRotation="255" wrapText="1" shrinkToFit="1"/>
    </xf>
    <xf numFmtId="49" fontId="33" fillId="0" borderId="0" xfId="1" applyNumberFormat="1" applyFont="1" applyAlignment="1">
      <alignment vertical="center" textRotation="255" shrinkToFit="1"/>
    </xf>
    <xf numFmtId="0" fontId="34" fillId="0" borderId="0" xfId="1" applyFont="1"/>
    <xf numFmtId="0" fontId="29" fillId="0" borderId="0" xfId="1" applyFont="1" applyAlignment="1">
      <alignment horizontal="center" vertical="center"/>
    </xf>
    <xf numFmtId="2" fontId="29" fillId="0" borderId="0" xfId="1" applyNumberFormat="1" applyFont="1" applyAlignment="1">
      <alignment horizontal="center"/>
    </xf>
    <xf numFmtId="165" fontId="29" fillId="0" borderId="0" xfId="2" applyFont="1" applyFill="1" applyBorder="1"/>
    <xf numFmtId="9" fontId="29" fillId="0" borderId="0" xfId="3" applyFont="1" applyBorder="1" applyAlignment="1">
      <alignment vertical="center" wrapText="1"/>
    </xf>
    <xf numFmtId="167" fontId="29" fillId="0" borderId="16" xfId="1" applyNumberFormat="1" applyFont="1" applyBorder="1" applyAlignment="1">
      <alignment vertical="center"/>
    </xf>
    <xf numFmtId="168" fontId="35" fillId="3" borderId="16" xfId="1" applyNumberFormat="1" applyFont="1" applyFill="1" applyBorder="1" applyAlignment="1">
      <alignment horizontal="center" vertical="center" wrapText="1"/>
    </xf>
    <xf numFmtId="0" fontId="36" fillId="0" borderId="0" xfId="1" applyFont="1" applyAlignment="1">
      <alignment horizontal="center"/>
    </xf>
    <xf numFmtId="0" fontId="29" fillId="0" borderId="0" xfId="1" applyFont="1" applyAlignment="1">
      <alignment horizontal="left" vertical="center" wrapText="1"/>
    </xf>
    <xf numFmtId="0" fontId="29" fillId="0" borderId="0" xfId="1" applyFont="1" applyAlignment="1">
      <alignment vertical="center" wrapText="1"/>
    </xf>
    <xf numFmtId="0" fontId="36" fillId="0" borderId="0" xfId="1" applyFont="1" applyAlignment="1">
      <alignment horizontal="justify" vertical="justify"/>
    </xf>
    <xf numFmtId="0" fontId="36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38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 wrapText="1"/>
    </xf>
    <xf numFmtId="4" fontId="29" fillId="0" borderId="0" xfId="1" applyNumberFormat="1" applyFont="1" applyAlignment="1">
      <alignment horizontal="center" vertical="center" wrapText="1"/>
    </xf>
    <xf numFmtId="164" fontId="29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37" fillId="0" borderId="0" xfId="1" applyFont="1"/>
    <xf numFmtId="0" fontId="36" fillId="0" borderId="0" xfId="1" applyFont="1" applyAlignment="1">
      <alignment horizontal="left" vertical="center" wrapText="1"/>
    </xf>
    <xf numFmtId="0" fontId="36" fillId="0" borderId="0" xfId="1" applyFont="1" applyAlignment="1">
      <alignment vertical="center" wrapText="1"/>
    </xf>
    <xf numFmtId="0" fontId="36" fillId="0" borderId="0" xfId="1" applyFont="1" applyAlignment="1">
      <alignment horizontal="center" vertical="center" wrapText="1"/>
    </xf>
    <xf numFmtId="4" fontId="29" fillId="0" borderId="0" xfId="1" applyNumberFormat="1" applyFont="1" applyAlignment="1">
      <alignment vertical="center" wrapText="1"/>
    </xf>
    <xf numFmtId="164" fontId="29" fillId="0" borderId="0" xfId="1" applyNumberFormat="1" applyFont="1" applyAlignment="1">
      <alignment vertical="center" wrapText="1"/>
    </xf>
    <xf numFmtId="0" fontId="37" fillId="0" borderId="0" xfId="1" applyFont="1" applyAlignment="1">
      <alignment horizontal="left" vertical="center"/>
    </xf>
    <xf numFmtId="16" fontId="40" fillId="0" borderId="0" xfId="1" applyNumberFormat="1" applyFont="1" applyAlignment="1">
      <alignment horizontal="center"/>
    </xf>
    <xf numFmtId="4" fontId="29" fillId="0" borderId="0" xfId="1" applyNumberFormat="1" applyFont="1" applyAlignment="1">
      <alignment horizontal="left" vertical="center" wrapText="1"/>
    </xf>
    <xf numFmtId="164" fontId="29" fillId="0" borderId="0" xfId="1" applyNumberFormat="1" applyFont="1" applyAlignment="1">
      <alignment horizontal="left" vertical="center" wrapText="1"/>
    </xf>
    <xf numFmtId="41" fontId="41" fillId="0" borderId="0" xfId="1" applyNumberFormat="1" applyFont="1" applyAlignment="1">
      <alignment horizontal="center" vertical="center"/>
    </xf>
    <xf numFmtId="0" fontId="42" fillId="0" borderId="0" xfId="1" applyFont="1" applyAlignment="1">
      <alignment horizontal="center" vertical="center"/>
    </xf>
    <xf numFmtId="0" fontId="42" fillId="0" borderId="1" xfId="1" applyFont="1" applyBorder="1" applyAlignment="1">
      <alignment horizontal="left" vertical="center"/>
    </xf>
    <xf numFmtId="0" fontId="42" fillId="0" borderId="0" xfId="1" applyFont="1"/>
    <xf numFmtId="41" fontId="44" fillId="0" borderId="0" xfId="1" applyNumberFormat="1" applyFont="1" applyAlignment="1">
      <alignment horizontal="center" vertical="center"/>
    </xf>
    <xf numFmtId="0" fontId="42" fillId="0" borderId="0" xfId="1" applyFont="1" applyAlignment="1">
      <alignment vertical="center"/>
    </xf>
    <xf numFmtId="0" fontId="45" fillId="0" borderId="0" xfId="1" applyFont="1" applyAlignment="1">
      <alignment horizontal="center" vertical="center"/>
    </xf>
    <xf numFmtId="0" fontId="36" fillId="0" borderId="7" xfId="1" applyFont="1" applyBorder="1" applyAlignment="1">
      <alignment horizontal="center" vertical="center" wrapText="1"/>
    </xf>
    <xf numFmtId="0" fontId="36" fillId="0" borderId="13" xfId="1" applyFont="1" applyBorder="1" applyAlignment="1">
      <alignment horizontal="center" vertical="center" wrapText="1"/>
    </xf>
    <xf numFmtId="0" fontId="47" fillId="0" borderId="13" xfId="1" applyFont="1" applyBorder="1" applyAlignment="1">
      <alignment horizontal="center" vertical="center" wrapText="1"/>
    </xf>
    <xf numFmtId="0" fontId="36" fillId="0" borderId="9" xfId="1" applyFont="1" applyBorder="1" applyAlignment="1">
      <alignment horizontal="center" vertical="center" wrapText="1"/>
    </xf>
    <xf numFmtId="166" fontId="36" fillId="0" borderId="9" xfId="2" applyNumberFormat="1" applyFont="1" applyFill="1" applyBorder="1" applyAlignment="1">
      <alignment horizontal="center" vertical="center" wrapText="1"/>
    </xf>
    <xf numFmtId="165" fontId="36" fillId="0" borderId="9" xfId="2" applyFont="1" applyFill="1" applyBorder="1" applyAlignment="1">
      <alignment horizontal="center" vertical="center" wrapText="1"/>
    </xf>
    <xf numFmtId="0" fontId="48" fillId="0" borderId="13" xfId="1" applyFont="1" applyBorder="1" applyAlignment="1">
      <alignment horizontal="center" vertical="center" wrapText="1"/>
    </xf>
    <xf numFmtId="1" fontId="48" fillId="0" borderId="13" xfId="1" applyNumberFormat="1" applyFont="1" applyBorder="1" applyAlignment="1">
      <alignment horizontal="center" vertical="center"/>
    </xf>
    <xf numFmtId="165" fontId="48" fillId="0" borderId="13" xfId="2" applyFont="1" applyBorder="1" applyAlignment="1">
      <alignment horizontal="center" vertical="center"/>
    </xf>
    <xf numFmtId="44" fontId="48" fillId="0" borderId="13" xfId="3" applyNumberFormat="1" applyFont="1" applyBorder="1" applyAlignment="1">
      <alignment vertical="center" wrapText="1"/>
    </xf>
    <xf numFmtId="167" fontId="48" fillId="0" borderId="13" xfId="1" applyNumberFormat="1" applyFont="1" applyBorder="1" applyAlignment="1">
      <alignment vertical="center"/>
    </xf>
    <xf numFmtId="49" fontId="30" fillId="0" borderId="9" xfId="1" applyNumberFormat="1" applyFont="1" applyBorder="1" applyAlignment="1">
      <alignment horizontal="center" vertical="center" textRotation="255" wrapText="1" shrinkToFit="1"/>
    </xf>
    <xf numFmtId="165" fontId="48" fillId="0" borderId="9" xfId="2" applyFont="1" applyBorder="1" applyAlignment="1">
      <alignment horizontal="center" vertical="center"/>
    </xf>
    <xf numFmtId="44" fontId="48" fillId="0" borderId="9" xfId="3" applyNumberFormat="1" applyFont="1" applyBorder="1" applyAlignment="1">
      <alignment vertical="center" wrapText="1"/>
    </xf>
    <xf numFmtId="167" fontId="48" fillId="0" borderId="9" xfId="1" applyNumberFormat="1" applyFont="1" applyBorder="1" applyAlignment="1">
      <alignment vertical="center"/>
    </xf>
    <xf numFmtId="49" fontId="30" fillId="0" borderId="13" xfId="1" applyNumberFormat="1" applyFont="1" applyBorder="1" applyAlignment="1">
      <alignment horizontal="center" vertical="center" textRotation="255" wrapText="1" shrinkToFit="1"/>
    </xf>
    <xf numFmtId="0" fontId="30" fillId="0" borderId="38" xfId="1" applyFont="1" applyBorder="1" applyAlignment="1">
      <alignment horizontal="center" vertical="center" wrapText="1"/>
    </xf>
    <xf numFmtId="165" fontId="30" fillId="0" borderId="39" xfId="2" applyFont="1" applyBorder="1" applyAlignment="1">
      <alignment horizontal="center" vertical="center"/>
    </xf>
    <xf numFmtId="0" fontId="31" fillId="0" borderId="22" xfId="4" applyFont="1" applyBorder="1" applyAlignment="1">
      <alignment horizontal="center" vertical="center" wrapText="1"/>
    </xf>
    <xf numFmtId="0" fontId="32" fillId="0" borderId="0" xfId="4" applyFont="1" applyBorder="1" applyAlignment="1">
      <alignment vertical="center" wrapText="1"/>
    </xf>
    <xf numFmtId="0" fontId="36" fillId="0" borderId="26" xfId="1" applyFont="1" applyBorder="1" applyAlignment="1">
      <alignment horizontal="center" vertical="center" wrapText="1"/>
    </xf>
    <xf numFmtId="166" fontId="36" fillId="0" borderId="13" xfId="2" applyNumberFormat="1" applyFont="1" applyFill="1" applyBorder="1" applyAlignment="1">
      <alignment horizontal="center" vertical="center" wrapText="1"/>
    </xf>
    <xf numFmtId="165" fontId="36" fillId="0" borderId="13" xfId="2" applyFont="1" applyFill="1" applyBorder="1" applyAlignment="1">
      <alignment horizontal="center" vertical="center" wrapText="1"/>
    </xf>
    <xf numFmtId="165" fontId="30" fillId="0" borderId="37" xfId="2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12" fontId="18" fillId="0" borderId="9" xfId="4" applyNumberFormat="1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 wrapText="1"/>
    </xf>
    <xf numFmtId="0" fontId="32" fillId="0" borderId="9" xfId="4" applyFont="1" applyBorder="1" applyAlignment="1">
      <alignment horizontal="center" vertical="center" wrapText="1"/>
    </xf>
    <xf numFmtId="168" fontId="20" fillId="0" borderId="40" xfId="1" applyNumberFormat="1" applyFont="1" applyBorder="1" applyAlignment="1">
      <alignment vertical="center"/>
    </xf>
    <xf numFmtId="0" fontId="18" fillId="0" borderId="9" xfId="4" applyFont="1" applyBorder="1" applyAlignment="1">
      <alignment horizontal="center" vertical="center" wrapText="1"/>
    </xf>
    <xf numFmtId="0" fontId="18" fillId="0" borderId="16" xfId="4" applyFont="1" applyBorder="1" applyAlignment="1">
      <alignment vertical="center" wrapText="1"/>
    </xf>
    <xf numFmtId="0" fontId="18" fillId="0" borderId="6" xfId="4" applyFont="1" applyBorder="1" applyAlignment="1">
      <alignment vertical="center" wrapText="1"/>
    </xf>
    <xf numFmtId="0" fontId="2" fillId="0" borderId="42" xfId="1" applyFont="1" applyBorder="1" applyAlignment="1">
      <alignment horizontal="center" vertical="center" wrapText="1"/>
    </xf>
    <xf numFmtId="0" fontId="2" fillId="0" borderId="43" xfId="1" applyFont="1" applyBorder="1" applyAlignment="1">
      <alignment horizontal="center" vertical="center" wrapText="1"/>
    </xf>
    <xf numFmtId="0" fontId="11" fillId="0" borderId="43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166" fontId="2" fillId="0" borderId="34" xfId="2" applyNumberFormat="1" applyFont="1" applyFill="1" applyBorder="1" applyAlignment="1">
      <alignment horizontal="center" vertical="center" wrapText="1"/>
    </xf>
    <xf numFmtId="165" fontId="2" fillId="0" borderId="34" xfId="2" applyFont="1" applyFill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 wrapText="1"/>
    </xf>
    <xf numFmtId="0" fontId="32" fillId="0" borderId="13" xfId="4" applyFont="1" applyBorder="1" applyAlignment="1">
      <alignment vertical="center" wrapText="1"/>
    </xf>
    <xf numFmtId="0" fontId="32" fillId="0" borderId="34" xfId="4" applyFont="1" applyBorder="1" applyAlignment="1">
      <alignment vertical="center" wrapText="1"/>
    </xf>
    <xf numFmtId="0" fontId="32" fillId="0" borderId="6" xfId="4" applyFont="1" applyBorder="1" applyAlignment="1">
      <alignment vertical="center" wrapText="1"/>
    </xf>
    <xf numFmtId="0" fontId="30" fillId="0" borderId="21" xfId="1" applyFont="1" applyBorder="1" applyAlignment="1">
      <alignment horizontal="center" vertical="center" wrapText="1"/>
    </xf>
    <xf numFmtId="0" fontId="32" fillId="0" borderId="12" xfId="4" applyFont="1" applyBorder="1" applyAlignment="1">
      <alignment vertical="center" wrapText="1"/>
    </xf>
    <xf numFmtId="0" fontId="20" fillId="0" borderId="8" xfId="1" applyFont="1" applyBorder="1" applyAlignment="1">
      <alignment horizontal="center" vertical="center" wrapText="1"/>
    </xf>
    <xf numFmtId="1" fontId="20" fillId="0" borderId="8" xfId="1" applyNumberFormat="1" applyFont="1" applyBorder="1" applyAlignment="1">
      <alignment horizontal="center" vertical="center"/>
    </xf>
    <xf numFmtId="165" fontId="20" fillId="0" borderId="8" xfId="2" applyFont="1" applyBorder="1" applyAlignment="1">
      <alignment horizontal="center" vertical="center"/>
    </xf>
    <xf numFmtId="0" fontId="18" fillId="0" borderId="18" xfId="4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1" fontId="20" fillId="0" borderId="33" xfId="1" applyNumberFormat="1" applyFont="1" applyBorder="1" applyAlignment="1">
      <alignment horizontal="center" vertical="center"/>
    </xf>
    <xf numFmtId="165" fontId="20" fillId="0" borderId="33" xfId="2" applyFont="1" applyBorder="1" applyAlignment="1">
      <alignment horizontal="center" vertical="center"/>
    </xf>
    <xf numFmtId="0" fontId="19" fillId="0" borderId="6" xfId="4" applyFont="1" applyBorder="1" applyAlignment="1">
      <alignment horizontal="center" vertical="center" wrapText="1"/>
    </xf>
    <xf numFmtId="0" fontId="18" fillId="0" borderId="50" xfId="4" applyFont="1" applyFill="1" applyBorder="1" applyAlignment="1">
      <alignment horizontal="center" vertical="center" wrapText="1"/>
    </xf>
    <xf numFmtId="1" fontId="20" fillId="0" borderId="9" xfId="1" applyNumberFormat="1" applyFont="1" applyBorder="1" applyAlignment="1">
      <alignment horizontal="center" vertical="center"/>
    </xf>
    <xf numFmtId="0" fontId="11" fillId="0" borderId="42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166" fontId="11" fillId="0" borderId="34" xfId="2" applyNumberFormat="1" applyFont="1" applyFill="1" applyBorder="1" applyAlignment="1">
      <alignment horizontal="center" vertical="center" wrapText="1"/>
    </xf>
    <xf numFmtId="165" fontId="11" fillId="0" borderId="34" xfId="2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0" borderId="13" xfId="4" applyFont="1" applyBorder="1" applyAlignment="1">
      <alignment horizontal="center" vertical="center" wrapText="1"/>
    </xf>
    <xf numFmtId="0" fontId="54" fillId="0" borderId="13" xfId="1" applyFont="1" applyBorder="1" applyAlignment="1">
      <alignment horizontal="center" vertical="center" wrapText="1"/>
    </xf>
    <xf numFmtId="0" fontId="54" fillId="0" borderId="9" xfId="1" applyFont="1" applyBorder="1" applyAlignment="1">
      <alignment horizontal="center" vertical="center" wrapText="1"/>
    </xf>
    <xf numFmtId="170" fontId="20" fillId="0" borderId="17" xfId="0" applyNumberFormat="1" applyFont="1" applyBorder="1" applyAlignment="1">
      <alignment horizontal="center" vertical="center"/>
    </xf>
    <xf numFmtId="0" fontId="53" fillId="0" borderId="9" xfId="4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53" fillId="0" borderId="53" xfId="4" applyFont="1" applyBorder="1" applyAlignment="1">
      <alignment horizontal="center" vertical="center" wrapText="1"/>
    </xf>
    <xf numFmtId="0" fontId="19" fillId="2" borderId="51" xfId="4" applyFont="1" applyFill="1" applyBorder="1" applyAlignment="1">
      <alignment horizontal="center" vertical="center" wrapText="1"/>
    </xf>
    <xf numFmtId="0" fontId="19" fillId="2" borderId="45" xfId="4" applyFont="1" applyFill="1" applyBorder="1" applyAlignment="1">
      <alignment horizontal="center" vertical="center" wrapText="1"/>
    </xf>
    <xf numFmtId="0" fontId="19" fillId="2" borderId="52" xfId="4" applyFont="1" applyFill="1" applyBorder="1" applyAlignment="1">
      <alignment horizontal="center" vertical="center" wrapText="1"/>
    </xf>
    <xf numFmtId="168" fontId="20" fillId="0" borderId="19" xfId="1" applyNumberFormat="1" applyFont="1" applyBorder="1" applyAlignment="1">
      <alignment horizontal="center" vertical="center"/>
    </xf>
    <xf numFmtId="168" fontId="20" fillId="0" borderId="20" xfId="1" applyNumberFormat="1" applyFont="1" applyBorder="1" applyAlignment="1">
      <alignment horizontal="center" vertical="center"/>
    </xf>
    <xf numFmtId="168" fontId="20" fillId="0" borderId="21" xfId="1" applyNumberFormat="1" applyFont="1" applyBorder="1" applyAlignment="1">
      <alignment horizontal="center" vertical="center"/>
    </xf>
    <xf numFmtId="168" fontId="20" fillId="0" borderId="9" xfId="1" applyNumberFormat="1" applyFont="1" applyBorder="1" applyAlignment="1">
      <alignment horizontal="center" vertical="center"/>
    </xf>
    <xf numFmtId="0" fontId="50" fillId="0" borderId="19" xfId="1" applyFont="1" applyBorder="1" applyAlignment="1">
      <alignment horizontal="center" vertical="center" wrapText="1"/>
    </xf>
    <xf numFmtId="0" fontId="50" fillId="0" borderId="20" xfId="1" applyFont="1" applyBorder="1" applyAlignment="1">
      <alignment horizontal="center" vertical="center" wrapText="1"/>
    </xf>
    <xf numFmtId="0" fontId="50" fillId="0" borderId="21" xfId="1" applyFont="1" applyBorder="1" applyAlignment="1">
      <alignment horizontal="center" vertical="center" wrapText="1"/>
    </xf>
    <xf numFmtId="0" fontId="26" fillId="0" borderId="6" xfId="1" applyFont="1" applyBorder="1" applyAlignment="1">
      <alignment horizontal="center" vertical="center" wrapText="1"/>
    </xf>
    <xf numFmtId="0" fontId="26" fillId="0" borderId="14" xfId="1" applyFont="1" applyBorder="1" applyAlignment="1">
      <alignment horizontal="center" vertical="center" wrapText="1"/>
    </xf>
    <xf numFmtId="168" fontId="20" fillId="0" borderId="14" xfId="1" applyNumberFormat="1" applyFont="1" applyBorder="1" applyAlignment="1">
      <alignment horizontal="center" vertical="center"/>
    </xf>
    <xf numFmtId="168" fontId="20" fillId="0" borderId="41" xfId="1" applyNumberFormat="1" applyFont="1" applyBorder="1" applyAlignment="1">
      <alignment horizontal="center" vertical="center"/>
    </xf>
    <xf numFmtId="168" fontId="20" fillId="0" borderId="27" xfId="1" applyNumberFormat="1" applyFont="1" applyBorder="1" applyAlignment="1">
      <alignment horizontal="center" vertical="center"/>
    </xf>
    <xf numFmtId="44" fontId="20" fillId="0" borderId="6" xfId="3" applyNumberFormat="1" applyFont="1" applyBorder="1" applyAlignment="1">
      <alignment horizontal="center" vertical="center" wrapText="1"/>
    </xf>
    <xf numFmtId="0" fontId="50" fillId="0" borderId="12" xfId="1" applyFont="1" applyBorder="1" applyAlignment="1">
      <alignment horizontal="center" vertical="center" wrapText="1"/>
    </xf>
    <xf numFmtId="0" fontId="28" fillId="0" borderId="12" xfId="1" applyFont="1" applyBorder="1" applyAlignment="1">
      <alignment horizontal="center" vertical="center" wrapText="1"/>
    </xf>
    <xf numFmtId="0" fontId="28" fillId="0" borderId="24" xfId="1" applyFont="1" applyBorder="1" applyAlignment="1">
      <alignment horizontal="center" vertical="center" wrapText="1"/>
    </xf>
    <xf numFmtId="168" fontId="20" fillId="0" borderId="47" xfId="1" applyNumberFormat="1" applyFont="1" applyBorder="1" applyAlignment="1">
      <alignment horizontal="center" vertical="center"/>
    </xf>
    <xf numFmtId="168" fontId="20" fillId="0" borderId="48" xfId="1" applyNumberFormat="1" applyFont="1" applyBorder="1" applyAlignment="1">
      <alignment horizontal="center" vertical="center"/>
    </xf>
    <xf numFmtId="168" fontId="20" fillId="0" borderId="49" xfId="1" applyNumberFormat="1" applyFont="1" applyBorder="1" applyAlignment="1">
      <alignment horizontal="center" vertical="center"/>
    </xf>
    <xf numFmtId="168" fontId="20" fillId="0" borderId="12" xfId="1" applyNumberFormat="1" applyFont="1" applyBorder="1" applyAlignment="1">
      <alignment horizontal="center" vertical="center"/>
    </xf>
    <xf numFmtId="168" fontId="20" fillId="0" borderId="10" xfId="1" applyNumberFormat="1" applyFont="1" applyBorder="1" applyAlignment="1">
      <alignment horizontal="center" vertical="center"/>
    </xf>
    <xf numFmtId="168" fontId="20" fillId="0" borderId="0" xfId="1" applyNumberFormat="1" applyFont="1" applyAlignment="1">
      <alignment horizontal="center" vertical="center"/>
    </xf>
    <xf numFmtId="168" fontId="20" fillId="0" borderId="28" xfId="1" applyNumberFormat="1" applyFont="1" applyBorder="1" applyAlignment="1">
      <alignment horizontal="center" vertical="center"/>
    </xf>
    <xf numFmtId="0" fontId="27" fillId="0" borderId="19" xfId="1" applyFont="1" applyBorder="1" applyAlignment="1">
      <alignment horizontal="center" vertical="center" wrapText="1"/>
    </xf>
    <xf numFmtId="0" fontId="27" fillId="0" borderId="20" xfId="1" applyFont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 wrapText="1"/>
    </xf>
    <xf numFmtId="165" fontId="20" fillId="0" borderId="30" xfId="2" applyFont="1" applyBorder="1" applyAlignment="1">
      <alignment horizontal="center" vertical="center"/>
    </xf>
    <xf numFmtId="165" fontId="20" fillId="0" borderId="31" xfId="2" applyFont="1" applyBorder="1" applyAlignment="1">
      <alignment horizontal="center" vertical="center"/>
    </xf>
    <xf numFmtId="165" fontId="20" fillId="0" borderId="32" xfId="2" applyFont="1" applyBorder="1" applyAlignment="1">
      <alignment horizontal="center" vertical="center"/>
    </xf>
    <xf numFmtId="168" fontId="20" fillId="0" borderId="25" xfId="1" applyNumberFormat="1" applyFont="1" applyBorder="1" applyAlignment="1">
      <alignment horizontal="center" vertical="center"/>
    </xf>
    <xf numFmtId="168" fontId="20" fillId="0" borderId="15" xfId="1" applyNumberFormat="1" applyFont="1" applyBorder="1" applyAlignment="1">
      <alignment horizontal="center" vertical="center"/>
    </xf>
    <xf numFmtId="168" fontId="20" fillId="0" borderId="29" xfId="1" applyNumberFormat="1" applyFont="1" applyBorder="1" applyAlignment="1">
      <alignment horizontal="center" vertical="center"/>
    </xf>
    <xf numFmtId="0" fontId="50" fillId="0" borderId="6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center" wrapText="1"/>
    </xf>
    <xf numFmtId="0" fontId="27" fillId="0" borderId="6" xfId="1" applyFont="1" applyBorder="1" applyAlignment="1">
      <alignment horizontal="center" vertical="center"/>
    </xf>
    <xf numFmtId="0" fontId="25" fillId="0" borderId="18" xfId="1" applyFont="1" applyBorder="1" applyAlignment="1">
      <alignment horizontal="center" vertical="center" wrapText="1"/>
    </xf>
    <xf numFmtId="0" fontId="25" fillId="0" borderId="6" xfId="1" applyFont="1" applyBorder="1" applyAlignment="1">
      <alignment horizontal="center" vertical="center" wrapText="1"/>
    </xf>
    <xf numFmtId="168" fontId="20" fillId="0" borderId="6" xfId="1" applyNumberFormat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21" fillId="0" borderId="0" xfId="1" applyFont="1" applyAlignment="1">
      <alignment horizontal="left" vertical="center"/>
    </xf>
    <xf numFmtId="17" fontId="10" fillId="0" borderId="1" xfId="1" quotePrefix="1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5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1" fillId="2" borderId="14" xfId="0" applyFont="1" applyFill="1" applyBorder="1" applyAlignment="1">
      <alignment horizontal="center" vertical="center"/>
    </xf>
    <xf numFmtId="0" fontId="51" fillId="2" borderId="41" xfId="0" applyFont="1" applyFill="1" applyBorder="1" applyAlignment="1">
      <alignment horizontal="center" vertical="center"/>
    </xf>
    <xf numFmtId="0" fontId="51" fillId="2" borderId="27" xfId="0" applyFont="1" applyFill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5" xfId="1" applyFont="1" applyBorder="1" applyAlignment="1">
      <alignment horizontal="center" vertical="center"/>
    </xf>
    <xf numFmtId="0" fontId="10" fillId="0" borderId="46" xfId="1" applyFont="1" applyBorder="1" applyAlignment="1">
      <alignment horizontal="center" vertical="center"/>
    </xf>
    <xf numFmtId="0" fontId="55" fillId="2" borderId="14" xfId="4" applyFont="1" applyFill="1" applyBorder="1" applyAlignment="1">
      <alignment horizontal="center" vertical="center"/>
    </xf>
    <xf numFmtId="0" fontId="55" fillId="2" borderId="41" xfId="4" applyFont="1" applyFill="1" applyBorder="1" applyAlignment="1">
      <alignment horizontal="center" vertical="center"/>
    </xf>
    <xf numFmtId="0" fontId="55" fillId="2" borderId="27" xfId="4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46" fillId="2" borderId="9" xfId="4" applyFont="1" applyFill="1" applyBorder="1" applyAlignment="1">
      <alignment horizontal="center" vertical="center" wrapText="1"/>
    </xf>
    <xf numFmtId="0" fontId="39" fillId="0" borderId="0" xfId="1" applyFont="1" applyAlignment="1">
      <alignment horizontal="left" vertical="center"/>
    </xf>
    <xf numFmtId="17" fontId="40" fillId="0" borderId="1" xfId="1" quotePrefix="1" applyNumberFormat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/>
    </xf>
    <xf numFmtId="0" fontId="29" fillId="0" borderId="0" xfId="1" applyFont="1" applyAlignment="1">
      <alignment horizontal="left" vertical="center" wrapText="1"/>
    </xf>
    <xf numFmtId="0" fontId="29" fillId="0" borderId="0" xfId="1" applyFont="1" applyAlignment="1">
      <alignment vertical="center" wrapText="1"/>
    </xf>
    <xf numFmtId="0" fontId="37" fillId="0" borderId="0" xfId="1" applyFont="1" applyAlignment="1">
      <alignment horizontal="center"/>
    </xf>
    <xf numFmtId="0" fontId="39" fillId="0" borderId="0" xfId="1" applyFont="1" applyAlignment="1">
      <alignment horizontal="center"/>
    </xf>
    <xf numFmtId="0" fontId="42" fillId="0" borderId="1" xfId="1" applyFont="1" applyBorder="1" applyAlignment="1">
      <alignment horizontal="center" vertical="center"/>
    </xf>
    <xf numFmtId="0" fontId="42" fillId="0" borderId="2" xfId="1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/>
    </xf>
    <xf numFmtId="0" fontId="36" fillId="0" borderId="4" xfId="1" applyFont="1" applyBorder="1" applyAlignment="1">
      <alignment horizontal="center" vertical="center"/>
    </xf>
    <xf numFmtId="0" fontId="36" fillId="0" borderId="5" xfId="1" applyFont="1" applyBorder="1" applyAlignment="1">
      <alignment horizontal="center" vertical="center"/>
    </xf>
    <xf numFmtId="0" fontId="55" fillId="2" borderId="10" xfId="4" applyFont="1" applyFill="1" applyBorder="1" applyAlignment="1">
      <alignment horizontal="center" vertical="center" wrapText="1"/>
    </xf>
    <xf numFmtId="0" fontId="55" fillId="2" borderId="0" xfId="4" applyFont="1" applyFill="1" applyAlignment="1">
      <alignment horizontal="center" vertical="center" wrapText="1"/>
    </xf>
    <xf numFmtId="0" fontId="55" fillId="2" borderId="11" xfId="4" applyFont="1" applyFill="1" applyBorder="1" applyAlignment="1">
      <alignment horizontal="center" vertical="center" wrapText="1"/>
    </xf>
  </cellXfs>
  <cellStyles count="6">
    <cellStyle name="Collegamento ipertestuale" xfId="4" builtinId="8"/>
    <cellStyle name="Euro" xfId="2" xr:uid="{BED24ECC-D2B6-4C2F-87E7-1C0063ADFEC4}"/>
    <cellStyle name="Hyperlink" xfId="5" xr:uid="{00000000-000B-0000-0000-000008000000}"/>
    <cellStyle name="Normale" xfId="0" builtinId="0"/>
    <cellStyle name="Normale 2" xfId="1" xr:uid="{C7CFEBB9-5ED3-46DD-ACBC-DEF6B10C8170}"/>
    <cellStyle name="Percentuale 2" xfId="3" xr:uid="{7EE4E9E3-F2E2-49E1-A4C9-667C4DB57E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jpg@01D73DAC.6552BF7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2.jpg@01D73DAC.6552BF7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2.jpg@01D73DAC.6552BF7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cid:image002.jpg@01D73DAC.6552BF7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13606</xdr:colOff>
      <xdr:row>1</xdr:row>
      <xdr:rowOff>67490</xdr:rowOff>
    </xdr:from>
    <xdr:ext cx="2939143" cy="789759"/>
    <xdr:pic>
      <xdr:nvPicPr>
        <xdr:cNvPr id="2" name="Immagine 1">
          <a:extLst>
            <a:ext uri="{FF2B5EF4-FFF2-40B4-BE49-F238E27FC236}">
              <a16:creationId xmlns:a16="http://schemas.microsoft.com/office/drawing/2014/main" id="{B200B84B-5C46-4000-BBBB-40E1179D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206" y="229415"/>
          <a:ext cx="2939143" cy="789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11974</xdr:colOff>
      <xdr:row>1</xdr:row>
      <xdr:rowOff>40277</xdr:rowOff>
    </xdr:from>
    <xdr:ext cx="1254703" cy="789709"/>
    <xdr:pic>
      <xdr:nvPicPr>
        <xdr:cNvPr id="3" name="Immagine 2">
          <a:extLst>
            <a:ext uri="{FF2B5EF4-FFF2-40B4-BE49-F238E27FC236}">
              <a16:creationId xmlns:a16="http://schemas.microsoft.com/office/drawing/2014/main" id="{F6727F7F-3B79-45B7-BC90-E1CC55954337}"/>
            </a:ext>
            <a:ext uri="{147F2762-F138-4A5C-976F-8EAC2B608ADB}">
              <a16:predDERef xmlns:a16="http://schemas.microsoft.com/office/drawing/2014/main" pred="{B200B84B-5C46-4000-BBBB-40E1179D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8774" y="202202"/>
          <a:ext cx="1254703" cy="789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13606</xdr:colOff>
      <xdr:row>1</xdr:row>
      <xdr:rowOff>67490</xdr:rowOff>
    </xdr:from>
    <xdr:ext cx="2939143" cy="789759"/>
    <xdr:pic>
      <xdr:nvPicPr>
        <xdr:cNvPr id="2" name="Immagine 1">
          <a:extLst>
            <a:ext uri="{FF2B5EF4-FFF2-40B4-BE49-F238E27FC236}">
              <a16:creationId xmlns:a16="http://schemas.microsoft.com/office/drawing/2014/main" id="{5C72D3EB-F13D-4D3F-8252-5A12C837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927" y="230776"/>
          <a:ext cx="2939143" cy="789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11974</xdr:colOff>
      <xdr:row>1</xdr:row>
      <xdr:rowOff>40277</xdr:rowOff>
    </xdr:from>
    <xdr:ext cx="1254703" cy="789709"/>
    <xdr:pic>
      <xdr:nvPicPr>
        <xdr:cNvPr id="3" name="Immagine 2">
          <a:extLst>
            <a:ext uri="{FF2B5EF4-FFF2-40B4-BE49-F238E27FC236}">
              <a16:creationId xmlns:a16="http://schemas.microsoft.com/office/drawing/2014/main" id="{C8A4EBBB-EF5A-43AA-8DB4-AEA14E59E0F2}"/>
            </a:ext>
            <a:ext uri="{147F2762-F138-4A5C-976F-8EAC2B608ADB}">
              <a16:predDERef xmlns:a16="http://schemas.microsoft.com/office/drawing/2014/main" pred="{AAD5333B-3C2B-4B38-9344-01B034736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938" y="40277"/>
          <a:ext cx="1254703" cy="789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13606</xdr:colOff>
      <xdr:row>1</xdr:row>
      <xdr:rowOff>67490</xdr:rowOff>
    </xdr:from>
    <xdr:ext cx="2939143" cy="789759"/>
    <xdr:pic>
      <xdr:nvPicPr>
        <xdr:cNvPr id="2" name="Immagine 1">
          <a:extLst>
            <a:ext uri="{FF2B5EF4-FFF2-40B4-BE49-F238E27FC236}">
              <a16:creationId xmlns:a16="http://schemas.microsoft.com/office/drawing/2014/main" id="{AD55C245-7AFF-4489-A98B-49916D03D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446" y="235130"/>
          <a:ext cx="2939143" cy="789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11974</xdr:colOff>
      <xdr:row>1</xdr:row>
      <xdr:rowOff>40277</xdr:rowOff>
    </xdr:from>
    <xdr:ext cx="1254703" cy="789709"/>
    <xdr:pic>
      <xdr:nvPicPr>
        <xdr:cNvPr id="3" name="Immagine 2">
          <a:extLst>
            <a:ext uri="{FF2B5EF4-FFF2-40B4-BE49-F238E27FC236}">
              <a16:creationId xmlns:a16="http://schemas.microsoft.com/office/drawing/2014/main" id="{96887EDE-D973-41CC-9BD0-5C5156F58D6F}"/>
            </a:ext>
            <a:ext uri="{147F2762-F138-4A5C-976F-8EAC2B608ADB}">
              <a16:predDERef xmlns:a16="http://schemas.microsoft.com/office/drawing/2014/main" pred="{98598B7A-4F2A-4409-9E97-0094B6373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2614" y="207917"/>
          <a:ext cx="1254703" cy="789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13606</xdr:colOff>
      <xdr:row>1</xdr:row>
      <xdr:rowOff>67490</xdr:rowOff>
    </xdr:from>
    <xdr:ext cx="2939143" cy="789759"/>
    <xdr:pic>
      <xdr:nvPicPr>
        <xdr:cNvPr id="2" name="Immagine 1">
          <a:extLst>
            <a:ext uri="{FF2B5EF4-FFF2-40B4-BE49-F238E27FC236}">
              <a16:creationId xmlns:a16="http://schemas.microsoft.com/office/drawing/2014/main" id="{98598B7A-4F2A-4409-9E97-0094B6373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206" y="229415"/>
          <a:ext cx="2939143" cy="7897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11974</xdr:colOff>
      <xdr:row>1</xdr:row>
      <xdr:rowOff>40277</xdr:rowOff>
    </xdr:from>
    <xdr:ext cx="1254703" cy="789709"/>
    <xdr:pic>
      <xdr:nvPicPr>
        <xdr:cNvPr id="3" name="Immagine 2">
          <a:extLst>
            <a:ext uri="{FF2B5EF4-FFF2-40B4-BE49-F238E27FC236}">
              <a16:creationId xmlns:a16="http://schemas.microsoft.com/office/drawing/2014/main" id="{B3B70FB7-B969-4853-BF1D-A258161F87A8}"/>
            </a:ext>
            <a:ext uri="{147F2762-F138-4A5C-976F-8EAC2B608ADB}">
              <a16:predDERef xmlns:a16="http://schemas.microsoft.com/office/drawing/2014/main" pred="{98598B7A-4F2A-4409-9E97-0094B6373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8774" y="202202"/>
          <a:ext cx="1254703" cy="789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BOLLE_REKEEP_LAVORI_ESEGUITI/01-Aprile%202026/28-04-26%20extracanone-06052026083100.pdf" TargetMode="External"/><Relationship Id="rId1" Type="http://schemas.openxmlformats.org/officeDocument/2006/relationships/hyperlink" Target="DDT_FORNITORI/01-Aprile%202026/sacchi%20extra%2024_4_26%20ALIM_DALI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DDT_FORNITORI/02-Maggio%202026/DDT%208046428845%20-%20R026011615.pdf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DDT_FORNITORI/02-Maggio%202026/BTICINO%20-%20BTIS2020DE%20SPINA%202P+T%20ST.%20FRANCO_TED%20ORIENT%20SSPAZ%20B%20-%20S2020DE.pdf" TargetMode="External"/><Relationship Id="rId1" Type="http://schemas.openxmlformats.org/officeDocument/2006/relationships/hyperlink" Target="DDT_FORNITORI/02-Maggio%202026/sacchi%20extracan%2018-05-26-19052026091102.pdf" TargetMode="External"/><Relationship Id="rId6" Type="http://schemas.openxmlformats.org/officeDocument/2006/relationships/hyperlink" Target="BOLLE_REKEEP_LAVORI_ESEGUITI/02-Maggio%202026/extracan%2019-05-26%20st5313-03062026163438.pdf" TargetMode="External"/><Relationship Id="rId5" Type="http://schemas.openxmlformats.org/officeDocument/2006/relationships/hyperlink" Target="DDT_FORNITORI/02-Maggio%202026/SACCHI%2004-02-26%20extrac.%20ray%20way-05022026080203.pdf" TargetMode="External"/><Relationship Id="rId4" Type="http://schemas.openxmlformats.org/officeDocument/2006/relationships/hyperlink" Target="DDT_FORNITORI/02-Maggio%202026/DDT%208046489037%20-%20R026011617%20-CAT6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BOLLE_REKEEP_LAVORI_ESEGUITI/03-Giugno%202026/Rapporto_Lavoro_N&#176;0155973-22_15_06_26.pdf" TargetMode="External"/><Relationship Id="rId1" Type="http://schemas.openxmlformats.org/officeDocument/2006/relationships/hyperlink" Target="DDT_FORNITORI/03-Giugno%202026/sonepar%20extr%2012-06-26-alim.led%20corridoi.pdf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E766-E420-4BC2-BC17-4D1631BBF22D}">
  <dimension ref="B2:Q40"/>
  <sheetViews>
    <sheetView tabSelected="1" topLeftCell="A7" zoomScale="55" zoomScaleNormal="55" workbookViewId="0">
      <selection activeCell="P25" sqref="P25"/>
    </sheetView>
  </sheetViews>
  <sheetFormatPr defaultColWidth="9.140625" defaultRowHeight="13.15"/>
  <cols>
    <col min="1" max="1" width="9.140625" style="2"/>
    <col min="2" max="2" width="10.140625" style="1" customWidth="1"/>
    <col min="3" max="3" width="34.140625" style="1" customWidth="1"/>
    <col min="4" max="4" width="79.42578125" style="2" customWidth="1"/>
    <col min="5" max="5" width="7.42578125" style="9" customWidth="1"/>
    <col min="6" max="6" width="15.42578125" style="4" customWidth="1"/>
    <col min="7" max="7" width="14.140625" style="10" customWidth="1"/>
    <col min="8" max="8" width="7.42578125" style="10" customWidth="1"/>
    <col min="9" max="9" width="7.42578125" style="4" customWidth="1"/>
    <col min="10" max="10" width="13.7109375" style="4" customWidth="1"/>
    <col min="11" max="11" width="22.7109375" style="2" customWidth="1"/>
    <col min="12" max="13" width="9.140625" style="2"/>
    <col min="14" max="14" width="12.7109375" style="2" bestFit="1" customWidth="1"/>
    <col min="15" max="15" width="9.140625" style="2"/>
    <col min="16" max="16" width="14.28515625" style="2" bestFit="1" customWidth="1"/>
    <col min="17" max="17" width="9.42578125" style="2" bestFit="1" customWidth="1"/>
    <col min="18" max="16384" width="9.140625" style="2"/>
  </cols>
  <sheetData>
    <row r="2" spans="2:10">
      <c r="E2" s="279"/>
      <c r="F2" s="279"/>
      <c r="G2" s="279"/>
      <c r="H2" s="279"/>
      <c r="I2" s="279"/>
    </row>
    <row r="3" spans="2:10">
      <c r="E3" s="280" t="s">
        <v>0</v>
      </c>
      <c r="F3" s="280"/>
      <c r="G3" s="280"/>
      <c r="H3" s="280"/>
      <c r="I3" s="280"/>
    </row>
    <row r="4" spans="2:10" ht="13.5" customHeight="1">
      <c r="E4" s="6"/>
      <c r="F4" s="7"/>
      <c r="G4" s="7"/>
      <c r="H4" s="7"/>
      <c r="I4" s="7"/>
    </row>
    <row r="5" spans="2:10">
      <c r="E5" s="8"/>
      <c r="F5" s="7"/>
      <c r="G5" s="7"/>
      <c r="H5" s="7"/>
      <c r="I5" s="7"/>
    </row>
    <row r="6" spans="2:10">
      <c r="E6" s="8"/>
      <c r="F6" s="7"/>
      <c r="G6" s="7"/>
      <c r="H6" s="7"/>
      <c r="I6" s="7"/>
    </row>
    <row r="7" spans="2:10">
      <c r="E7" s="8"/>
      <c r="F7" s="7"/>
      <c r="G7" s="7"/>
      <c r="H7" s="7"/>
      <c r="I7" s="7"/>
    </row>
    <row r="8" spans="2:10">
      <c r="F8" s="5"/>
    </row>
    <row r="9" spans="2:10" ht="15">
      <c r="B9" s="281" t="s">
        <v>1</v>
      </c>
      <c r="C9" s="281"/>
      <c r="D9" s="5"/>
      <c r="E9" s="76" t="s">
        <v>2</v>
      </c>
      <c r="F9" s="282" t="s">
        <v>3</v>
      </c>
      <c r="G9" s="282"/>
      <c r="H9" s="282" t="s">
        <v>4</v>
      </c>
      <c r="I9" s="282"/>
      <c r="J9" s="282"/>
    </row>
    <row r="10" spans="2:10">
      <c r="B10" s="12"/>
      <c r="C10" s="3"/>
      <c r="D10" s="5"/>
      <c r="E10" s="12"/>
      <c r="F10" s="12"/>
      <c r="G10" s="13"/>
      <c r="H10" s="13"/>
      <c r="I10" s="14"/>
    </row>
    <row r="11" spans="2:10">
      <c r="B11" s="15"/>
      <c r="F11" s="11"/>
      <c r="G11" s="11"/>
      <c r="H11" s="11"/>
      <c r="I11" s="11"/>
    </row>
    <row r="12" spans="2:10">
      <c r="B12" s="16"/>
      <c r="C12" s="16"/>
      <c r="D12" s="17"/>
      <c r="E12" s="18"/>
      <c r="F12" s="18"/>
      <c r="G12" s="19"/>
      <c r="H12" s="19"/>
      <c r="I12" s="20"/>
    </row>
    <row r="13" spans="2:10" ht="15.6">
      <c r="B13" s="21" t="s">
        <v>5</v>
      </c>
      <c r="C13" s="75">
        <v>46174</v>
      </c>
      <c r="D13" s="17"/>
      <c r="E13" s="18"/>
      <c r="F13" s="18"/>
      <c r="G13" s="22"/>
      <c r="H13" s="22"/>
      <c r="I13" s="23"/>
    </row>
    <row r="14" spans="2:10">
      <c r="H14" s="22"/>
    </row>
    <row r="15" spans="2:10" ht="15.6">
      <c r="B15" s="276" t="s">
        <v>6</v>
      </c>
      <c r="C15" s="276"/>
      <c r="D15" s="24"/>
      <c r="E15" s="25"/>
      <c r="F15" s="26" t="s">
        <v>7</v>
      </c>
      <c r="G15" s="277"/>
      <c r="H15" s="278"/>
      <c r="I15" s="27"/>
      <c r="J15" s="2"/>
    </row>
    <row r="16" spans="2:10" ht="16.899999999999999">
      <c r="B16" s="276" t="s">
        <v>8</v>
      </c>
      <c r="C16" s="276"/>
      <c r="D16" s="29"/>
      <c r="E16" s="25"/>
      <c r="F16" s="26" t="s">
        <v>9</v>
      </c>
      <c r="G16" s="283"/>
      <c r="H16" s="284"/>
      <c r="I16" s="30"/>
      <c r="J16" s="2"/>
    </row>
    <row r="17" spans="2:17" ht="16.5" customHeight="1">
      <c r="B17" s="276" t="s">
        <v>10</v>
      </c>
      <c r="C17" s="276"/>
      <c r="D17" s="276"/>
      <c r="F17" s="285" t="s">
        <v>11</v>
      </c>
      <c r="G17" s="286"/>
      <c r="H17" s="287"/>
      <c r="I17" s="2"/>
      <c r="J17" s="2"/>
    </row>
    <row r="18" spans="2:17" ht="16.899999999999999">
      <c r="B18" s="28"/>
      <c r="C18" s="28"/>
      <c r="D18" s="29"/>
      <c r="F18" s="1"/>
      <c r="G18" s="1"/>
      <c r="H18" s="1"/>
      <c r="I18" s="2"/>
      <c r="J18" s="2"/>
    </row>
    <row r="19" spans="2:17" ht="42.75" customHeight="1">
      <c r="B19" s="288" t="s">
        <v>12</v>
      </c>
      <c r="C19" s="289"/>
      <c r="D19" s="289"/>
      <c r="E19" s="289"/>
      <c r="F19" s="289"/>
      <c r="G19" s="289"/>
      <c r="H19" s="289"/>
      <c r="I19" s="289"/>
      <c r="J19" s="289"/>
      <c r="K19" s="290"/>
    </row>
    <row r="20" spans="2:17" ht="24" customHeight="1">
      <c r="B20" s="273" t="s">
        <v>13</v>
      </c>
      <c r="C20" s="274"/>
      <c r="D20" s="274"/>
      <c r="E20" s="274"/>
      <c r="F20" s="274"/>
      <c r="G20" s="274"/>
      <c r="H20" s="274"/>
      <c r="I20" s="274"/>
      <c r="J20" s="274"/>
      <c r="K20" s="275"/>
    </row>
    <row r="21" spans="2:17" ht="36.75" customHeight="1">
      <c r="B21" s="231"/>
      <c r="C21" s="232"/>
      <c r="D21" s="232"/>
      <c r="E21" s="232"/>
      <c r="F21" s="232"/>
      <c r="G21" s="232"/>
      <c r="H21" s="232"/>
      <c r="I21" s="232"/>
      <c r="J21" s="232"/>
      <c r="K21" s="233"/>
    </row>
    <row r="22" spans="2:17" s="8" customFormat="1" ht="61.5" customHeight="1">
      <c r="B22" s="269" t="s">
        <v>14</v>
      </c>
      <c r="C22" s="269"/>
      <c r="D22" s="269"/>
      <c r="E22" s="258" t="s">
        <v>15</v>
      </c>
      <c r="F22" s="258"/>
      <c r="G22" s="259"/>
      <c r="H22" s="257" t="s">
        <v>16</v>
      </c>
      <c r="I22" s="258"/>
      <c r="J22" s="259"/>
      <c r="K22" s="48" t="s">
        <v>17</v>
      </c>
    </row>
    <row r="23" spans="2:17" ht="164.25" customHeight="1">
      <c r="B23" s="270" t="s">
        <v>18</v>
      </c>
      <c r="C23" s="270"/>
      <c r="D23" s="270"/>
      <c r="E23" s="260">
        <v>0</v>
      </c>
      <c r="F23" s="261"/>
      <c r="G23" s="262"/>
      <c r="H23" s="260">
        <f>'APRILE NP 2026'!K33</f>
        <v>245.52875</v>
      </c>
      <c r="I23" s="261"/>
      <c r="J23" s="262"/>
      <c r="K23" s="55">
        <f t="shared" ref="K23:K29" si="0">SUM(E23:J23)</f>
        <v>245.52875</v>
      </c>
      <c r="M23" s="40">
        <f>G23*0.15</f>
        <v>0</v>
      </c>
      <c r="N23" s="40">
        <f>M23*(1-0.31)</f>
        <v>0</v>
      </c>
      <c r="O23" s="40">
        <f>G23+N23</f>
        <v>0</v>
      </c>
      <c r="P23" s="41"/>
      <c r="Q23" s="41"/>
    </row>
    <row r="24" spans="2:17" ht="160.5" hidden="1" customHeight="1">
      <c r="B24" s="271" t="s">
        <v>19</v>
      </c>
      <c r="C24" s="271"/>
      <c r="D24" s="271"/>
      <c r="E24" s="260">
        <v>0</v>
      </c>
      <c r="F24" s="261"/>
      <c r="G24" s="262"/>
      <c r="H24" s="263">
        <f>'APRILE NP 2026'!K40</f>
        <v>0</v>
      </c>
      <c r="I24" s="264"/>
      <c r="J24" s="265"/>
      <c r="K24" s="55">
        <f t="shared" si="0"/>
        <v>0</v>
      </c>
    </row>
    <row r="25" spans="2:17" ht="160.5" customHeight="1">
      <c r="B25" s="241" t="s">
        <v>20</v>
      </c>
      <c r="C25" s="241"/>
      <c r="D25" s="241"/>
      <c r="E25" s="243">
        <v>0</v>
      </c>
      <c r="F25" s="244"/>
      <c r="G25" s="245"/>
      <c r="H25" s="263">
        <f>'MAGGIO NP 2026 '!K28</f>
        <v>194.76775000000001</v>
      </c>
      <c r="I25" s="264"/>
      <c r="J25" s="265"/>
      <c r="K25" s="64">
        <f t="shared" si="0"/>
        <v>194.76775000000001</v>
      </c>
    </row>
    <row r="26" spans="2:17" ht="160.5" hidden="1" customHeight="1">
      <c r="B26" s="241" t="s">
        <v>21</v>
      </c>
      <c r="C26" s="241"/>
      <c r="D26" s="241"/>
      <c r="E26" s="243">
        <v>0</v>
      </c>
      <c r="F26" s="244"/>
      <c r="G26" s="245"/>
      <c r="H26" s="254">
        <v>0</v>
      </c>
      <c r="I26" s="255"/>
      <c r="J26" s="256"/>
      <c r="K26" s="64">
        <f t="shared" si="0"/>
        <v>0</v>
      </c>
    </row>
    <row r="27" spans="2:17" ht="160.5" hidden="1" customHeight="1">
      <c r="B27" s="241" t="s">
        <v>21</v>
      </c>
      <c r="C27" s="241"/>
      <c r="D27" s="242"/>
      <c r="E27" s="243">
        <v>0</v>
      </c>
      <c r="F27" s="244"/>
      <c r="G27" s="245"/>
      <c r="H27" s="246">
        <f>'MAGGIO NP 2026 '!K35</f>
        <v>0</v>
      </c>
      <c r="I27" s="246"/>
      <c r="J27" s="246"/>
      <c r="K27" s="79">
        <f t="shared" si="0"/>
        <v>0</v>
      </c>
    </row>
    <row r="28" spans="2:17" ht="160.5" customHeight="1">
      <c r="B28" s="266" t="s">
        <v>22</v>
      </c>
      <c r="C28" s="267"/>
      <c r="D28" s="268"/>
      <c r="E28" s="243">
        <v>0</v>
      </c>
      <c r="F28" s="244"/>
      <c r="G28" s="245"/>
      <c r="H28" s="272">
        <f>'GIUGNO NP 2026 '!K37</f>
        <v>329.50510000000003</v>
      </c>
      <c r="I28" s="272"/>
      <c r="J28" s="272"/>
      <c r="K28" s="79">
        <f t="shared" si="0"/>
        <v>329.50510000000003</v>
      </c>
    </row>
    <row r="29" spans="2:17" ht="160.5" hidden="1" customHeight="1">
      <c r="B29" s="247" t="s">
        <v>19</v>
      </c>
      <c r="C29" s="248"/>
      <c r="D29" s="249"/>
      <c r="E29" s="250">
        <v>0</v>
      </c>
      <c r="F29" s="251"/>
      <c r="G29" s="252"/>
      <c r="H29" s="253">
        <f>'GIUGNO NP 2026 '!K49</f>
        <v>0</v>
      </c>
      <c r="I29" s="253"/>
      <c r="J29" s="253"/>
      <c r="K29" s="79">
        <f t="shared" si="0"/>
        <v>0</v>
      </c>
    </row>
    <row r="30" spans="2:17" ht="160.5" hidden="1" customHeight="1">
      <c r="B30" s="238" t="s">
        <v>23</v>
      </c>
      <c r="C30" s="239"/>
      <c r="D30" s="240"/>
      <c r="E30" s="234">
        <v>0</v>
      </c>
      <c r="F30" s="235"/>
      <c r="G30" s="236"/>
      <c r="H30" s="237">
        <f>'GIUGNO NP 2026 '!K58</f>
        <v>0</v>
      </c>
      <c r="I30" s="237"/>
      <c r="J30" s="237"/>
      <c r="K30" s="192">
        <f>SUM(E30,H30)</f>
        <v>0</v>
      </c>
    </row>
    <row r="31" spans="2:17" ht="30" customHeight="1">
      <c r="B31" s="42"/>
      <c r="C31" s="2"/>
      <c r="D31" s="43"/>
      <c r="F31" s="10"/>
      <c r="G31" s="44"/>
      <c r="H31" s="45"/>
      <c r="I31" s="2"/>
      <c r="J31" s="84" t="s">
        <v>24</v>
      </c>
      <c r="K31" s="47">
        <f>SUM(K23:K30)</f>
        <v>769.80160000000001</v>
      </c>
    </row>
    <row r="32" spans="2:17" ht="30" customHeight="1">
      <c r="B32" s="2"/>
      <c r="C32" s="2"/>
      <c r="E32" s="2"/>
      <c r="F32" s="2"/>
      <c r="G32" s="2"/>
      <c r="H32" s="2"/>
      <c r="I32" s="2"/>
      <c r="J32" s="2"/>
    </row>
    <row r="33" spans="9:11" ht="29.25" customHeight="1">
      <c r="I33" s="2"/>
      <c r="J33" s="2"/>
    </row>
    <row r="40" spans="9:11" ht="25.5" customHeight="1">
      <c r="K40" s="4"/>
    </row>
  </sheetData>
  <protectedRanges>
    <protectedRange password="C66A" sqref="E2:I2" name="Intervallo3"/>
    <protectedRange password="C66A" sqref="B11 B9 D9:D10" name="Intervallo3_2"/>
    <protectedRange sqref="F9" name="Intervallo1" securityDescriptor="O:WDG:WDD:(A;;CC;;;WD)"/>
    <protectedRange sqref="F11" name="Intervallo2" securityDescriptor="O:WDG:WDD:(A;;CC;;;WD)"/>
    <protectedRange password="C66A" sqref="E3:I3 F8 I4 F7:I7" name="Intervallo3_1"/>
  </protectedRanges>
  <mergeCells count="41">
    <mergeCell ref="B20:K20"/>
    <mergeCell ref="B15:C15"/>
    <mergeCell ref="G15:H15"/>
    <mergeCell ref="E2:I2"/>
    <mergeCell ref="E3:I3"/>
    <mergeCell ref="B9:C9"/>
    <mergeCell ref="F9:G9"/>
    <mergeCell ref="H9:J9"/>
    <mergeCell ref="B16:C16"/>
    <mergeCell ref="G16:H16"/>
    <mergeCell ref="B17:D17"/>
    <mergeCell ref="F17:H17"/>
    <mergeCell ref="B19:K19"/>
    <mergeCell ref="H25:J25"/>
    <mergeCell ref="B28:D28"/>
    <mergeCell ref="B22:D22"/>
    <mergeCell ref="B23:D23"/>
    <mergeCell ref="B25:D25"/>
    <mergeCell ref="B26:D26"/>
    <mergeCell ref="B24:D24"/>
    <mergeCell ref="E22:G22"/>
    <mergeCell ref="E23:G23"/>
    <mergeCell ref="E24:G24"/>
    <mergeCell ref="E28:G28"/>
    <mergeCell ref="H28:J28"/>
    <mergeCell ref="B21:K21"/>
    <mergeCell ref="E30:G30"/>
    <mergeCell ref="H30:J30"/>
    <mergeCell ref="B30:D30"/>
    <mergeCell ref="B27:D27"/>
    <mergeCell ref="E27:G27"/>
    <mergeCell ref="H27:J27"/>
    <mergeCell ref="B29:D29"/>
    <mergeCell ref="E29:G29"/>
    <mergeCell ref="H29:J29"/>
    <mergeCell ref="E26:G26"/>
    <mergeCell ref="H26:J26"/>
    <mergeCell ref="H22:J22"/>
    <mergeCell ref="H23:J23"/>
    <mergeCell ref="H24:J24"/>
    <mergeCell ref="E25:G25"/>
  </mergeCells>
  <pageMargins left="1" right="1" top="1" bottom="1" header="0.5" footer="0.5"/>
  <pageSetup paperSize="9" scale="2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8C69-B5EE-4287-A362-9126CCD53928}">
  <sheetPr>
    <tabColor rgb="FFFF0000"/>
    <pageSetUpPr fitToPage="1"/>
  </sheetPr>
  <dimension ref="B2:Q46"/>
  <sheetViews>
    <sheetView topLeftCell="A4" zoomScale="55" zoomScaleNormal="55" workbookViewId="0">
      <selection activeCell="C23" sqref="C23"/>
    </sheetView>
  </sheetViews>
  <sheetFormatPr defaultColWidth="9.140625" defaultRowHeight="13.15"/>
  <cols>
    <col min="1" max="1" width="9.140625" style="2"/>
    <col min="2" max="2" width="10.140625" style="1" customWidth="1"/>
    <col min="3" max="3" width="38" style="1" customWidth="1"/>
    <col min="4" max="4" width="54" style="2" customWidth="1"/>
    <col min="5" max="5" width="7.42578125" style="9" customWidth="1"/>
    <col min="6" max="6" width="15.42578125" style="4" bestFit="1" customWidth="1"/>
    <col min="7" max="7" width="15.42578125" style="10" bestFit="1" customWidth="1"/>
    <col min="8" max="8" width="17.140625" style="10" customWidth="1"/>
    <col min="9" max="9" width="13.42578125" style="4" bestFit="1" customWidth="1"/>
    <col min="10" max="10" width="15.42578125" style="4" bestFit="1" customWidth="1"/>
    <col min="11" max="11" width="18.42578125" style="2" customWidth="1"/>
    <col min="12" max="13" width="9.140625" style="2"/>
    <col min="14" max="14" width="12.7109375" style="2" bestFit="1" customWidth="1"/>
    <col min="15" max="15" width="9.140625" style="2"/>
    <col min="16" max="16" width="14.28515625" style="2" bestFit="1" customWidth="1"/>
    <col min="17" max="17" width="9.42578125" style="2" bestFit="1" customWidth="1"/>
    <col min="18" max="16384" width="9.140625" style="2"/>
  </cols>
  <sheetData>
    <row r="2" spans="2:10">
      <c r="E2" s="279"/>
      <c r="F2" s="279"/>
      <c r="G2" s="279"/>
      <c r="H2" s="279"/>
      <c r="I2" s="279"/>
    </row>
    <row r="3" spans="2:10">
      <c r="E3" s="280" t="s">
        <v>0</v>
      </c>
      <c r="F3" s="280"/>
      <c r="G3" s="280"/>
      <c r="H3" s="280"/>
      <c r="I3" s="280"/>
    </row>
    <row r="4" spans="2:10" ht="13.5" customHeight="1">
      <c r="E4" s="6"/>
      <c r="F4" s="7"/>
      <c r="G4" s="7"/>
      <c r="H4" s="7"/>
      <c r="I4" s="7"/>
    </row>
    <row r="5" spans="2:10">
      <c r="E5" s="8"/>
      <c r="F5" s="7"/>
      <c r="G5" s="7"/>
      <c r="H5" s="7"/>
      <c r="I5" s="7"/>
    </row>
    <row r="6" spans="2:10">
      <c r="E6" s="8"/>
      <c r="F6" s="7"/>
      <c r="G6" s="7"/>
      <c r="H6" s="7"/>
      <c r="I6" s="7"/>
    </row>
    <row r="7" spans="2:10">
      <c r="E7" s="8"/>
      <c r="F7" s="7"/>
      <c r="G7" s="7"/>
      <c r="H7" s="7"/>
      <c r="I7" s="7"/>
    </row>
    <row r="8" spans="2:10">
      <c r="F8" s="5"/>
    </row>
    <row r="9" spans="2:10" ht="15">
      <c r="B9" s="281" t="s">
        <v>1</v>
      </c>
      <c r="C9" s="281"/>
      <c r="D9" s="5"/>
      <c r="E9" s="76" t="s">
        <v>2</v>
      </c>
      <c r="F9" s="282" t="s">
        <v>3</v>
      </c>
      <c r="G9" s="282"/>
      <c r="H9" s="282" t="s">
        <v>4</v>
      </c>
      <c r="I9" s="282"/>
    </row>
    <row r="10" spans="2:10">
      <c r="B10" s="12"/>
      <c r="C10" s="3"/>
      <c r="D10" s="5"/>
      <c r="E10" s="12"/>
      <c r="F10" s="12"/>
      <c r="G10" s="13"/>
      <c r="H10" s="13"/>
      <c r="I10" s="14"/>
    </row>
    <row r="11" spans="2:10">
      <c r="B11" s="15"/>
      <c r="F11" s="11"/>
      <c r="G11" s="11"/>
      <c r="H11" s="11"/>
      <c r="I11" s="11"/>
    </row>
    <row r="12" spans="2:10">
      <c r="B12" s="16"/>
      <c r="C12" s="16"/>
      <c r="D12" s="17"/>
      <c r="E12" s="18"/>
      <c r="F12" s="18"/>
      <c r="G12" s="19"/>
      <c r="H12" s="19"/>
      <c r="I12" s="20"/>
    </row>
    <row r="13" spans="2:10" ht="15.6">
      <c r="B13" s="21" t="s">
        <v>5</v>
      </c>
      <c r="C13" s="75">
        <v>46113</v>
      </c>
      <c r="D13" s="17"/>
      <c r="E13" s="18"/>
      <c r="F13" s="18"/>
      <c r="G13" s="22"/>
      <c r="H13" s="22"/>
      <c r="I13" s="23"/>
    </row>
    <row r="14" spans="2:10" ht="13.9" thickBot="1">
      <c r="H14" s="22"/>
    </row>
    <row r="15" spans="2:10" ht="16.149999999999999" thickBot="1">
      <c r="B15" s="276" t="s">
        <v>6</v>
      </c>
      <c r="C15" s="276"/>
      <c r="D15" s="24"/>
      <c r="E15" s="25"/>
      <c r="F15" s="26" t="s">
        <v>7</v>
      </c>
      <c r="G15" s="277">
        <v>46113</v>
      </c>
      <c r="H15" s="278"/>
      <c r="I15" s="27"/>
      <c r="J15" s="2"/>
    </row>
    <row r="16" spans="2:10" ht="17.45" thickBot="1">
      <c r="B16" s="276" t="s">
        <v>8</v>
      </c>
      <c r="C16" s="276"/>
      <c r="D16" s="29"/>
      <c r="E16" s="25"/>
      <c r="F16" s="26" t="s">
        <v>9</v>
      </c>
      <c r="G16" s="283"/>
      <c r="H16" s="284"/>
      <c r="I16" s="30"/>
      <c r="J16" s="2"/>
    </row>
    <row r="17" spans="2:17" ht="16.899999999999999">
      <c r="B17" s="276" t="s">
        <v>10</v>
      </c>
      <c r="C17" s="276"/>
      <c r="D17" s="29"/>
      <c r="F17" s="285" t="s">
        <v>11</v>
      </c>
      <c r="G17" s="286"/>
      <c r="H17" s="287"/>
      <c r="I17" s="2"/>
      <c r="J17" s="2"/>
    </row>
    <row r="18" spans="2:17" ht="16.899999999999999">
      <c r="B18" s="28"/>
      <c r="C18" s="28"/>
      <c r="D18" s="29"/>
      <c r="F18" s="1"/>
      <c r="G18" s="1"/>
      <c r="H18" s="1"/>
      <c r="I18" s="2"/>
      <c r="J18" s="2"/>
    </row>
    <row r="19" spans="2:17" ht="26.25" customHeight="1">
      <c r="B19" s="300" t="s">
        <v>25</v>
      </c>
      <c r="C19" s="300"/>
      <c r="D19" s="300"/>
      <c r="E19" s="300"/>
      <c r="F19" s="300"/>
      <c r="G19" s="300"/>
      <c r="H19" s="300"/>
      <c r="I19" s="300"/>
      <c r="J19" s="300"/>
      <c r="K19" s="300"/>
    </row>
    <row r="20" spans="2:17" ht="24" customHeight="1">
      <c r="B20" s="294" t="s">
        <v>13</v>
      </c>
      <c r="C20" s="295"/>
      <c r="D20" s="295"/>
      <c r="E20" s="295"/>
      <c r="F20" s="295"/>
      <c r="G20" s="295"/>
      <c r="H20" s="295"/>
      <c r="I20" s="295"/>
      <c r="J20" s="296"/>
      <c r="K20" s="202" t="s">
        <v>17</v>
      </c>
    </row>
    <row r="21" spans="2:17" ht="36.75" customHeight="1">
      <c r="B21" s="297" t="s">
        <v>26</v>
      </c>
      <c r="C21" s="298"/>
      <c r="D21" s="298"/>
      <c r="E21" s="298"/>
      <c r="F21" s="298"/>
      <c r="G21" s="298"/>
      <c r="H21" s="298"/>
      <c r="I21" s="298"/>
      <c r="J21" s="298"/>
      <c r="K21" s="299"/>
    </row>
    <row r="22" spans="2:17" s="8" customFormat="1" ht="40.5" customHeight="1">
      <c r="B22" s="196" t="s">
        <v>27</v>
      </c>
      <c r="C22" s="197" t="s">
        <v>28</v>
      </c>
      <c r="D22" s="198" t="s">
        <v>29</v>
      </c>
      <c r="E22" s="199" t="s">
        <v>30</v>
      </c>
      <c r="F22" s="199" t="s">
        <v>31</v>
      </c>
      <c r="G22" s="200" t="s">
        <v>32</v>
      </c>
      <c r="H22" s="201" t="s">
        <v>33</v>
      </c>
      <c r="I22" s="201" t="s">
        <v>34</v>
      </c>
      <c r="J22" s="199" t="s">
        <v>35</v>
      </c>
      <c r="K22" s="199" t="s">
        <v>36</v>
      </c>
    </row>
    <row r="23" spans="2:17" ht="164.25" customHeight="1">
      <c r="B23" s="49" t="s">
        <v>37</v>
      </c>
      <c r="C23" s="216" t="s">
        <v>38</v>
      </c>
      <c r="D23" s="209" t="s">
        <v>39</v>
      </c>
      <c r="E23" s="209" t="s">
        <v>40</v>
      </c>
      <c r="F23" s="210">
        <v>5</v>
      </c>
      <c r="G23" s="211">
        <v>44.5</v>
      </c>
      <c r="H23" s="53">
        <f t="shared" ref="H23:H32" si="0">G23*0.15</f>
        <v>6.6749999999999998</v>
      </c>
      <c r="I23" s="54">
        <f t="shared" ref="I23:I32" si="1">H23*(1-0.31)</f>
        <v>4.6057499999999996</v>
      </c>
      <c r="J23" s="55">
        <f t="shared" ref="J23:J32" si="2">G23+I23</f>
        <v>49.10575</v>
      </c>
      <c r="K23" s="55">
        <f t="shared" ref="K23:K32" si="3">F23*J23</f>
        <v>245.52875</v>
      </c>
      <c r="M23" s="40">
        <f>G23*0.15</f>
        <v>6.6749999999999998</v>
      </c>
      <c r="N23" s="40">
        <f>M23*(1-0.31)</f>
        <v>4.6057499999999996</v>
      </c>
      <c r="O23" s="40">
        <f>G23+N23</f>
        <v>49.10575</v>
      </c>
      <c r="P23" s="41"/>
      <c r="Q23" s="41"/>
    </row>
    <row r="24" spans="2:17" ht="160.5" hidden="1" customHeight="1">
      <c r="B24" s="49" t="s">
        <v>37</v>
      </c>
      <c r="C24" s="212"/>
      <c r="D24" s="213"/>
      <c r="E24" s="213" t="s">
        <v>41</v>
      </c>
      <c r="F24" s="214"/>
      <c r="G24" s="215"/>
      <c r="H24" s="56">
        <f t="shared" si="0"/>
        <v>0</v>
      </c>
      <c r="I24" s="57">
        <f t="shared" si="1"/>
        <v>0</v>
      </c>
      <c r="J24" s="58">
        <f t="shared" si="2"/>
        <v>0</v>
      </c>
      <c r="K24" s="59">
        <f t="shared" si="3"/>
        <v>0</v>
      </c>
    </row>
    <row r="25" spans="2:17" ht="160.5" hidden="1" customHeight="1">
      <c r="B25" s="60" t="s">
        <v>37</v>
      </c>
      <c r="C25" s="61"/>
      <c r="D25" s="51"/>
      <c r="E25" s="51" t="s">
        <v>41</v>
      </c>
      <c r="F25" s="72"/>
      <c r="G25" s="52"/>
      <c r="H25" s="62">
        <f t="shared" si="0"/>
        <v>0</v>
      </c>
      <c r="I25" s="62">
        <f t="shared" si="1"/>
        <v>0</v>
      </c>
      <c r="J25" s="63">
        <f t="shared" si="2"/>
        <v>0</v>
      </c>
      <c r="K25" s="64">
        <f t="shared" si="3"/>
        <v>0</v>
      </c>
    </row>
    <row r="26" spans="2:17" ht="160.5" hidden="1" customHeight="1">
      <c r="B26" s="60" t="s">
        <v>37</v>
      </c>
      <c r="C26" s="50"/>
      <c r="D26" s="65"/>
      <c r="E26" s="51" t="s">
        <v>40</v>
      </c>
      <c r="F26" s="73"/>
      <c r="G26" s="66"/>
      <c r="H26" s="62">
        <f t="shared" si="0"/>
        <v>0</v>
      </c>
      <c r="I26" s="62">
        <f t="shared" si="1"/>
        <v>0</v>
      </c>
      <c r="J26" s="63">
        <f t="shared" si="2"/>
        <v>0</v>
      </c>
      <c r="K26" s="64">
        <f t="shared" si="3"/>
        <v>0</v>
      </c>
    </row>
    <row r="27" spans="2:17" ht="160.5" hidden="1" customHeight="1">
      <c r="B27" s="60" t="s">
        <v>37</v>
      </c>
      <c r="C27" s="67"/>
      <c r="D27" s="65"/>
      <c r="E27" s="51" t="s">
        <v>41</v>
      </c>
      <c r="F27" s="73"/>
      <c r="G27" s="66"/>
      <c r="H27" s="62">
        <f t="shared" si="0"/>
        <v>0</v>
      </c>
      <c r="I27" s="62">
        <f t="shared" si="1"/>
        <v>0</v>
      </c>
      <c r="J27" s="63">
        <f t="shared" si="2"/>
        <v>0</v>
      </c>
      <c r="K27" s="64">
        <f t="shared" si="3"/>
        <v>0</v>
      </c>
    </row>
    <row r="28" spans="2:17" ht="160.5" hidden="1" customHeight="1">
      <c r="B28" s="60" t="s">
        <v>37</v>
      </c>
      <c r="C28" s="67"/>
      <c r="D28" s="65"/>
      <c r="E28" s="51" t="s">
        <v>40</v>
      </c>
      <c r="F28" s="73"/>
      <c r="G28" s="66"/>
      <c r="H28" s="62">
        <f t="shared" si="0"/>
        <v>0</v>
      </c>
      <c r="I28" s="62">
        <f t="shared" si="1"/>
        <v>0</v>
      </c>
      <c r="J28" s="63">
        <f t="shared" si="2"/>
        <v>0</v>
      </c>
      <c r="K28" s="64">
        <f t="shared" si="3"/>
        <v>0</v>
      </c>
    </row>
    <row r="29" spans="2:17" ht="160.5" hidden="1" customHeight="1">
      <c r="B29" s="60" t="s">
        <v>37</v>
      </c>
      <c r="C29" s="195"/>
      <c r="D29" s="65"/>
      <c r="E29" s="51" t="s">
        <v>40</v>
      </c>
      <c r="F29" s="73"/>
      <c r="G29" s="66"/>
      <c r="H29" s="62">
        <f t="shared" si="0"/>
        <v>0</v>
      </c>
      <c r="I29" s="62">
        <f t="shared" si="1"/>
        <v>0</v>
      </c>
      <c r="J29" s="63">
        <f t="shared" si="2"/>
        <v>0</v>
      </c>
      <c r="K29" s="64">
        <f t="shared" si="3"/>
        <v>0</v>
      </c>
    </row>
    <row r="30" spans="2:17" ht="160.5" hidden="1" customHeight="1">
      <c r="B30" s="60" t="s">
        <v>37</v>
      </c>
      <c r="C30" s="194"/>
      <c r="D30" s="65"/>
      <c r="E30" s="51" t="s">
        <v>40</v>
      </c>
      <c r="F30" s="73"/>
      <c r="G30" s="66"/>
      <c r="H30" s="62">
        <f t="shared" si="0"/>
        <v>0</v>
      </c>
      <c r="I30" s="62">
        <f t="shared" si="1"/>
        <v>0</v>
      </c>
      <c r="J30" s="63">
        <f t="shared" si="2"/>
        <v>0</v>
      </c>
      <c r="K30" s="64">
        <f t="shared" si="3"/>
        <v>0</v>
      </c>
    </row>
    <row r="31" spans="2:17" ht="160.5" hidden="1" customHeight="1">
      <c r="B31" s="60" t="s">
        <v>37</v>
      </c>
      <c r="C31" s="194"/>
      <c r="D31" s="65"/>
      <c r="E31" s="51" t="s">
        <v>41</v>
      </c>
      <c r="F31" s="73"/>
      <c r="G31" s="66"/>
      <c r="H31" s="62">
        <f t="shared" si="0"/>
        <v>0</v>
      </c>
      <c r="I31" s="62">
        <f t="shared" si="1"/>
        <v>0</v>
      </c>
      <c r="J31" s="63">
        <f t="shared" si="2"/>
        <v>0</v>
      </c>
      <c r="K31" s="64">
        <f t="shared" si="3"/>
        <v>0</v>
      </c>
    </row>
    <row r="32" spans="2:17" ht="160.5" hidden="1" customHeight="1">
      <c r="B32" s="60" t="s">
        <v>37</v>
      </c>
      <c r="C32" s="67"/>
      <c r="D32" s="65"/>
      <c r="E32" s="68" t="s">
        <v>40</v>
      </c>
      <c r="F32" s="73"/>
      <c r="G32" s="66"/>
      <c r="H32" s="62">
        <f t="shared" si="0"/>
        <v>0</v>
      </c>
      <c r="I32" s="62">
        <f t="shared" si="1"/>
        <v>0</v>
      </c>
      <c r="J32" s="63">
        <f t="shared" si="2"/>
        <v>0</v>
      </c>
      <c r="K32" s="64">
        <f t="shared" si="3"/>
        <v>0</v>
      </c>
    </row>
    <row r="33" spans="2:17" ht="30" customHeight="1">
      <c r="B33" s="42"/>
      <c r="C33" s="2"/>
      <c r="D33" s="43"/>
      <c r="F33" s="10"/>
      <c r="G33" s="44"/>
      <c r="H33" s="45"/>
      <c r="I33" s="2"/>
      <c r="J33" s="46" t="s">
        <v>24</v>
      </c>
      <c r="K33" s="47">
        <f>SUM(K23:K32)</f>
        <v>245.52875</v>
      </c>
    </row>
    <row r="34" spans="2:17" ht="30" customHeight="1">
      <c r="B34" s="2"/>
      <c r="C34" s="2"/>
      <c r="E34" s="2"/>
      <c r="F34" s="2"/>
      <c r="G34" s="2"/>
      <c r="H34" s="2"/>
      <c r="I34" s="2"/>
      <c r="J34" s="2"/>
    </row>
    <row r="35" spans="2:17" ht="29.25" hidden="1" customHeight="1">
      <c r="I35" s="2"/>
      <c r="J35" s="2"/>
    </row>
    <row r="36" spans="2:17" hidden="1"/>
    <row r="37" spans="2:17" ht="42" hidden="1" customHeight="1">
      <c r="B37" s="291" t="s">
        <v>42</v>
      </c>
      <c r="C37" s="292"/>
      <c r="D37" s="292"/>
      <c r="E37" s="292"/>
      <c r="F37" s="292"/>
      <c r="G37" s="292"/>
      <c r="H37" s="292"/>
      <c r="I37" s="292"/>
      <c r="J37" s="292"/>
      <c r="K37" s="293"/>
    </row>
    <row r="38" spans="2:17" s="8" customFormat="1" ht="35.25" hidden="1" customHeight="1">
      <c r="B38" s="196" t="s">
        <v>27</v>
      </c>
      <c r="C38" s="197" t="s">
        <v>28</v>
      </c>
      <c r="D38" s="198" t="s">
        <v>29</v>
      </c>
      <c r="E38" s="199" t="s">
        <v>30</v>
      </c>
      <c r="F38" s="199" t="s">
        <v>31</v>
      </c>
      <c r="G38" s="200" t="s">
        <v>32</v>
      </c>
      <c r="H38" s="201" t="s">
        <v>33</v>
      </c>
      <c r="I38" s="201" t="s">
        <v>34</v>
      </c>
      <c r="J38" s="199" t="s">
        <v>35</v>
      </c>
      <c r="K38" s="199" t="s">
        <v>36</v>
      </c>
    </row>
    <row r="39" spans="2:17" ht="162" hidden="1" customHeight="1">
      <c r="B39" s="60" t="s">
        <v>37</v>
      </c>
      <c r="C39" s="78"/>
      <c r="D39" s="77"/>
      <c r="E39" s="69" t="s">
        <v>43</v>
      </c>
      <c r="F39" s="74"/>
      <c r="G39" s="37"/>
      <c r="H39" s="37">
        <f t="shared" ref="H39" si="4">G39*0.15</f>
        <v>0</v>
      </c>
      <c r="I39" s="38">
        <f t="shared" ref="I39" si="5">H39*(1-0.31)</f>
        <v>0</v>
      </c>
      <c r="J39" s="39">
        <f t="shared" ref="J39" si="6">G39+I39</f>
        <v>0</v>
      </c>
      <c r="K39" s="39">
        <f t="shared" ref="K39" si="7">F39*J39</f>
        <v>0</v>
      </c>
      <c r="M39" s="40">
        <f>G39*0.15</f>
        <v>0</v>
      </c>
      <c r="N39" s="40">
        <f>M39*(1-0.31)</f>
        <v>0</v>
      </c>
      <c r="O39" s="40">
        <f>G39+N39</f>
        <v>0</v>
      </c>
      <c r="P39" s="41"/>
      <c r="Q39" s="41"/>
    </row>
    <row r="40" spans="2:17" ht="72" hidden="1" customHeight="1">
      <c r="B40" s="42"/>
      <c r="C40" s="2"/>
      <c r="D40" s="43"/>
      <c r="F40" s="10"/>
      <c r="G40" s="44"/>
      <c r="H40" s="45"/>
      <c r="I40" s="2"/>
      <c r="J40" s="46" t="s">
        <v>24</v>
      </c>
      <c r="K40" s="47">
        <f>SUM(K39:K39)</f>
        <v>0</v>
      </c>
    </row>
    <row r="42" spans="2:17" ht="27.75" customHeight="1">
      <c r="J42" s="70" t="s">
        <v>24</v>
      </c>
      <c r="K42" s="71">
        <f>SUM(K33:K40)</f>
        <v>245.52875</v>
      </c>
    </row>
    <row r="46" spans="2:17" ht="25.5" customHeight="1"/>
  </sheetData>
  <protectedRanges>
    <protectedRange password="C66A" sqref="E2:I2" name="Intervallo3"/>
    <protectedRange password="C66A" sqref="B11 B9 D9:D10" name="Intervallo3_2"/>
    <protectedRange sqref="F9" name="Intervallo1" securityDescriptor="O:WDG:WDD:(A;;CC;;;WD)"/>
    <protectedRange sqref="F11" name="Intervallo2" securityDescriptor="O:WDG:WDD:(A;;CC;;;WD)"/>
    <protectedRange password="C66A" sqref="E3:I3 F8 I4 F7:I7" name="Intervallo3_1"/>
  </protectedRanges>
  <mergeCells count="15">
    <mergeCell ref="B37:K37"/>
    <mergeCell ref="B20:J20"/>
    <mergeCell ref="B21:K21"/>
    <mergeCell ref="B9:C9"/>
    <mergeCell ref="B15:C15"/>
    <mergeCell ref="B16:C16"/>
    <mergeCell ref="B17:C17"/>
    <mergeCell ref="B19:K19"/>
    <mergeCell ref="E2:I2"/>
    <mergeCell ref="E3:I3"/>
    <mergeCell ref="G15:H15"/>
    <mergeCell ref="G16:H16"/>
    <mergeCell ref="F17:H17"/>
    <mergeCell ref="H9:I9"/>
    <mergeCell ref="F9:G9"/>
  </mergeCells>
  <hyperlinks>
    <hyperlink ref="C23" r:id="rId1" xr:uid="{036A6F42-EF74-4AFC-8EC0-3C65E1FEEF9E}"/>
    <hyperlink ref="B21:K21" r:id="rId2" display="RAPPORTO DI LAVORO N°: 0155952/22" xr:uid="{69511B75-A0C0-4BB0-816E-EEC95650DDC3}"/>
  </hyperlinks>
  <printOptions verticalCentered="1"/>
  <pageMargins left="1" right="1" top="1" bottom="1" header="0.5" footer="0.5"/>
  <pageSetup paperSize="9" scale="30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A5FF-A56A-4E3E-A207-540C4560CABE}">
  <sheetPr>
    <tabColor rgb="FF00B0F0"/>
  </sheetPr>
  <dimension ref="B2:Q41"/>
  <sheetViews>
    <sheetView topLeftCell="A7" zoomScale="60" zoomScaleNormal="60" workbookViewId="0">
      <selection activeCell="B21" sqref="B21:K21"/>
    </sheetView>
  </sheetViews>
  <sheetFormatPr defaultColWidth="9.140625" defaultRowHeight="13.15"/>
  <cols>
    <col min="1" max="1" width="9.140625" style="2"/>
    <col min="2" max="2" width="10.140625" style="1" customWidth="1"/>
    <col min="3" max="3" width="38" style="1" customWidth="1"/>
    <col min="4" max="4" width="54" style="2" customWidth="1"/>
    <col min="5" max="5" width="7.42578125" style="9" customWidth="1"/>
    <col min="6" max="6" width="15.42578125" style="4" bestFit="1" customWidth="1"/>
    <col min="7" max="7" width="15.42578125" style="10" bestFit="1" customWidth="1"/>
    <col min="8" max="8" width="17.140625" style="10" customWidth="1"/>
    <col min="9" max="9" width="13.42578125" style="4" bestFit="1" customWidth="1"/>
    <col min="10" max="10" width="15.42578125" style="4" bestFit="1" customWidth="1"/>
    <col min="11" max="11" width="18.42578125" style="2" customWidth="1"/>
    <col min="12" max="13" width="9.140625" style="2"/>
    <col min="14" max="14" width="12.7109375" style="2" bestFit="1" customWidth="1"/>
    <col min="15" max="15" width="9.140625" style="2"/>
    <col min="16" max="16" width="14.28515625" style="2" bestFit="1" customWidth="1"/>
    <col min="17" max="17" width="9.42578125" style="2" bestFit="1" customWidth="1"/>
    <col min="18" max="16384" width="9.140625" style="2"/>
  </cols>
  <sheetData>
    <row r="2" spans="2:10">
      <c r="E2" s="279"/>
      <c r="F2" s="279"/>
      <c r="G2" s="279"/>
      <c r="H2" s="279"/>
      <c r="I2" s="279"/>
    </row>
    <row r="3" spans="2:10">
      <c r="E3" s="280" t="s">
        <v>0</v>
      </c>
      <c r="F3" s="280"/>
      <c r="G3" s="280"/>
      <c r="H3" s="280"/>
      <c r="I3" s="280"/>
    </row>
    <row r="4" spans="2:10" ht="13.5" customHeight="1">
      <c r="E4" s="6"/>
      <c r="F4" s="7"/>
      <c r="G4" s="7"/>
      <c r="H4" s="7"/>
      <c r="I4" s="7"/>
    </row>
    <row r="5" spans="2:10">
      <c r="E5" s="8"/>
      <c r="F5" s="7"/>
      <c r="G5" s="7"/>
      <c r="H5" s="7"/>
      <c r="I5" s="7"/>
    </row>
    <row r="6" spans="2:10">
      <c r="E6" s="8"/>
      <c r="F6" s="7"/>
      <c r="G6" s="7"/>
      <c r="H6" s="7"/>
      <c r="I6" s="7"/>
    </row>
    <row r="7" spans="2:10">
      <c r="E7" s="8"/>
      <c r="F7" s="7"/>
      <c r="G7" s="7"/>
      <c r="H7" s="7"/>
      <c r="I7" s="7"/>
    </row>
    <row r="8" spans="2:10">
      <c r="F8" s="5"/>
    </row>
    <row r="9" spans="2:10" ht="15">
      <c r="B9" s="281" t="s">
        <v>1</v>
      </c>
      <c r="C9" s="281"/>
      <c r="D9" s="5"/>
      <c r="E9" s="76" t="s">
        <v>2</v>
      </c>
      <c r="F9" s="282" t="s">
        <v>3</v>
      </c>
      <c r="G9" s="282"/>
      <c r="H9" s="282" t="s">
        <v>4</v>
      </c>
      <c r="I9" s="282"/>
    </row>
    <row r="10" spans="2:10">
      <c r="B10" s="12"/>
      <c r="C10" s="3"/>
      <c r="D10" s="5"/>
      <c r="E10" s="12"/>
      <c r="F10" s="12"/>
      <c r="G10" s="13"/>
      <c r="H10" s="13"/>
      <c r="I10" s="14"/>
    </row>
    <row r="11" spans="2:10">
      <c r="B11" s="15"/>
      <c r="F11" s="11"/>
      <c r="G11" s="11"/>
      <c r="H11" s="11"/>
      <c r="I11" s="11"/>
    </row>
    <row r="12" spans="2:10">
      <c r="B12" s="16"/>
      <c r="C12" s="16"/>
      <c r="D12" s="17"/>
      <c r="E12" s="18"/>
      <c r="F12" s="18"/>
      <c r="G12" s="19"/>
      <c r="H12" s="19"/>
      <c r="I12" s="20"/>
    </row>
    <row r="13" spans="2:10" ht="15.6">
      <c r="B13" s="21" t="s">
        <v>5</v>
      </c>
      <c r="C13" s="75">
        <v>46143</v>
      </c>
      <c r="D13" s="17"/>
      <c r="E13" s="18"/>
      <c r="F13" s="18"/>
      <c r="G13" s="22"/>
      <c r="H13" s="22"/>
      <c r="I13" s="23"/>
    </row>
    <row r="14" spans="2:10" ht="13.9" thickBot="1">
      <c r="H14" s="22"/>
    </row>
    <row r="15" spans="2:10" ht="16.149999999999999" thickBot="1">
      <c r="B15" s="276" t="s">
        <v>6</v>
      </c>
      <c r="C15" s="276"/>
      <c r="D15" s="24"/>
      <c r="E15" s="25"/>
      <c r="F15" s="26" t="s">
        <v>7</v>
      </c>
      <c r="G15" s="277">
        <v>46143</v>
      </c>
      <c r="H15" s="278"/>
      <c r="I15" s="27"/>
      <c r="J15" s="2"/>
    </row>
    <row r="16" spans="2:10" ht="17.45" thickBot="1">
      <c r="B16" s="276" t="s">
        <v>8</v>
      </c>
      <c r="C16" s="276"/>
      <c r="D16" s="29"/>
      <c r="E16" s="25"/>
      <c r="F16" s="26" t="s">
        <v>9</v>
      </c>
      <c r="G16" s="283"/>
      <c r="H16" s="284"/>
      <c r="I16" s="30"/>
      <c r="J16" s="2"/>
    </row>
    <row r="17" spans="2:17" ht="23.25" customHeight="1">
      <c r="B17" s="276" t="s">
        <v>10</v>
      </c>
      <c r="C17" s="276"/>
      <c r="D17" s="276"/>
      <c r="F17" s="301" t="s">
        <v>11</v>
      </c>
      <c r="G17" s="302"/>
      <c r="H17" s="303"/>
      <c r="I17" s="2"/>
      <c r="J17" s="2"/>
    </row>
    <row r="18" spans="2:17" ht="16.899999999999999">
      <c r="B18" s="28"/>
      <c r="C18" s="28"/>
      <c r="D18" s="29"/>
      <c r="F18" s="1"/>
      <c r="G18" s="1"/>
      <c r="H18" s="1"/>
      <c r="I18" s="2"/>
      <c r="J18" s="2"/>
    </row>
    <row r="19" spans="2:17" ht="18" customHeight="1">
      <c r="B19" s="300" t="s">
        <v>44</v>
      </c>
      <c r="C19" s="300"/>
      <c r="D19" s="300"/>
      <c r="E19" s="300"/>
      <c r="F19" s="300"/>
      <c r="G19" s="300"/>
      <c r="H19" s="300"/>
      <c r="I19" s="300"/>
      <c r="J19" s="300"/>
      <c r="K19" s="300"/>
    </row>
    <row r="20" spans="2:17" ht="24" customHeight="1">
      <c r="B20" s="294" t="s">
        <v>13</v>
      </c>
      <c r="C20" s="295"/>
      <c r="D20" s="295"/>
      <c r="E20" s="295"/>
      <c r="F20" s="295"/>
      <c r="G20" s="295"/>
      <c r="H20" s="295"/>
      <c r="I20" s="295"/>
      <c r="J20" s="296"/>
      <c r="K20" s="202" t="s">
        <v>17</v>
      </c>
    </row>
    <row r="21" spans="2:17" ht="46.5" customHeight="1">
      <c r="B21" s="297" t="s">
        <v>45</v>
      </c>
      <c r="C21" s="298"/>
      <c r="D21" s="298"/>
      <c r="E21" s="298"/>
      <c r="F21" s="298"/>
      <c r="G21" s="298"/>
      <c r="H21" s="298"/>
      <c r="I21" s="298"/>
      <c r="J21" s="298"/>
      <c r="K21" s="299"/>
    </row>
    <row r="22" spans="2:17" s="8" customFormat="1" ht="40.5" customHeight="1">
      <c r="B22" s="219" t="s">
        <v>27</v>
      </c>
      <c r="C22" s="198" t="s">
        <v>28</v>
      </c>
      <c r="D22" s="198" t="s">
        <v>29</v>
      </c>
      <c r="E22" s="220" t="s">
        <v>30</v>
      </c>
      <c r="F22" s="220" t="s">
        <v>31</v>
      </c>
      <c r="G22" s="221" t="s">
        <v>32</v>
      </c>
      <c r="H22" s="222" t="s">
        <v>33</v>
      </c>
      <c r="I22" s="222" t="s">
        <v>34</v>
      </c>
      <c r="J22" s="220" t="s">
        <v>35</v>
      </c>
      <c r="K22" s="220" t="s">
        <v>36</v>
      </c>
    </row>
    <row r="23" spans="2:17" ht="164.25" customHeight="1">
      <c r="B23" s="49" t="s">
        <v>37</v>
      </c>
      <c r="C23" s="217" t="s">
        <v>46</v>
      </c>
      <c r="D23" s="226" t="s">
        <v>47</v>
      </c>
      <c r="E23" s="77" t="s">
        <v>40</v>
      </c>
      <c r="F23" s="218">
        <v>8</v>
      </c>
      <c r="G23" s="53">
        <v>13.49</v>
      </c>
      <c r="H23" s="53">
        <f t="shared" ref="H23:H26" si="0">G23*0.15</f>
        <v>2.0234999999999999</v>
      </c>
      <c r="I23" s="54">
        <f t="shared" ref="I23:I26" si="1">H23*(1-0.31)</f>
        <v>1.3962149999999998</v>
      </c>
      <c r="J23" s="55">
        <f t="shared" ref="J23:J26" si="2">G23+I23</f>
        <v>14.886215</v>
      </c>
      <c r="K23" s="55">
        <f t="shared" ref="K23:K26" si="3">F23*J23</f>
        <v>119.08972</v>
      </c>
      <c r="M23" s="40">
        <f>G23*0.15</f>
        <v>2.0234999999999999</v>
      </c>
      <c r="N23" s="40">
        <f>M23*(1-0.31)</f>
        <v>1.3962149999999998</v>
      </c>
      <c r="O23" s="40">
        <f>G23+N23</f>
        <v>14.886215</v>
      </c>
      <c r="P23" s="41"/>
      <c r="Q23" s="41"/>
    </row>
    <row r="24" spans="2:17" ht="160.5" customHeight="1">
      <c r="B24" s="49" t="s">
        <v>37</v>
      </c>
      <c r="C24" s="212" t="s">
        <v>48</v>
      </c>
      <c r="D24" s="223" t="s">
        <v>49</v>
      </c>
      <c r="E24" s="213" t="s">
        <v>40</v>
      </c>
      <c r="F24" s="214">
        <v>8</v>
      </c>
      <c r="G24" s="215">
        <v>2.54</v>
      </c>
      <c r="H24" s="56">
        <f t="shared" si="0"/>
        <v>0.38100000000000001</v>
      </c>
      <c r="I24" s="57">
        <f t="shared" si="1"/>
        <v>0.26288999999999996</v>
      </c>
      <c r="J24" s="58">
        <f t="shared" si="2"/>
        <v>2.8028900000000001</v>
      </c>
      <c r="K24" s="59">
        <f t="shared" si="3"/>
        <v>22.423120000000001</v>
      </c>
    </row>
    <row r="25" spans="2:17" ht="160.5" customHeight="1">
      <c r="B25" s="60" t="s">
        <v>37</v>
      </c>
      <c r="C25" s="224" t="s">
        <v>50</v>
      </c>
      <c r="D25" s="225" t="s">
        <v>51</v>
      </c>
      <c r="E25" s="51" t="s">
        <v>40</v>
      </c>
      <c r="F25" s="72">
        <v>16</v>
      </c>
      <c r="G25" s="52">
        <v>0.41</v>
      </c>
      <c r="H25" s="62">
        <f t="shared" si="0"/>
        <v>6.1499999999999992E-2</v>
      </c>
      <c r="I25" s="62">
        <f t="shared" si="1"/>
        <v>4.2434999999999994E-2</v>
      </c>
      <c r="J25" s="63">
        <f t="shared" si="2"/>
        <v>0.45243499999999998</v>
      </c>
      <c r="K25" s="64">
        <f t="shared" si="3"/>
        <v>7.2389599999999996</v>
      </c>
    </row>
    <row r="26" spans="2:17" ht="160.5" customHeight="1">
      <c r="B26" s="60" t="s">
        <v>37</v>
      </c>
      <c r="C26" s="228" t="s">
        <v>52</v>
      </c>
      <c r="D26" s="82" t="s">
        <v>53</v>
      </c>
      <c r="E26" s="65" t="s">
        <v>54</v>
      </c>
      <c r="F26" s="83">
        <v>30</v>
      </c>
      <c r="G26" s="227">
        <v>0.67</v>
      </c>
      <c r="H26" s="62">
        <f t="shared" si="0"/>
        <v>0.10050000000000001</v>
      </c>
      <c r="I26" s="62">
        <f t="shared" si="1"/>
        <v>6.9345000000000004E-2</v>
      </c>
      <c r="J26" s="63">
        <f t="shared" si="2"/>
        <v>0.73934500000000003</v>
      </c>
      <c r="K26" s="64">
        <f t="shared" si="3"/>
        <v>22.180350000000001</v>
      </c>
    </row>
    <row r="27" spans="2:17" ht="160.5" customHeight="1">
      <c r="B27" s="60" t="s">
        <v>37</v>
      </c>
      <c r="C27" s="228" t="s">
        <v>55</v>
      </c>
      <c r="D27" s="229" t="s">
        <v>56</v>
      </c>
      <c r="E27" s="65" t="s">
        <v>54</v>
      </c>
      <c r="F27" s="83">
        <v>15</v>
      </c>
      <c r="G27" s="227">
        <v>1.44</v>
      </c>
      <c r="H27" s="62">
        <f t="shared" ref="H27" si="4">G27*0.15</f>
        <v>0.216</v>
      </c>
      <c r="I27" s="62">
        <f t="shared" ref="I27" si="5">H27*(1-0.31)</f>
        <v>0.14903999999999998</v>
      </c>
      <c r="J27" s="63">
        <f t="shared" ref="J27" si="6">G27+I27</f>
        <v>1.58904</v>
      </c>
      <c r="K27" s="64">
        <f t="shared" ref="K27" si="7">F27*J27</f>
        <v>23.835599999999999</v>
      </c>
    </row>
    <row r="28" spans="2:17" ht="30" customHeight="1">
      <c r="B28" s="42"/>
      <c r="C28" s="2"/>
      <c r="D28" s="43"/>
      <c r="F28" s="10"/>
      <c r="G28" s="44"/>
      <c r="H28" s="45"/>
      <c r="I28" s="2"/>
      <c r="J28" s="46" t="s">
        <v>24</v>
      </c>
      <c r="K28" s="47">
        <f>SUM(K23:K27)</f>
        <v>194.76775000000001</v>
      </c>
    </row>
    <row r="29" spans="2:17" ht="30" customHeight="1">
      <c r="B29" s="2"/>
      <c r="C29" s="2"/>
      <c r="E29" s="2"/>
      <c r="F29" s="2"/>
      <c r="G29" s="2"/>
      <c r="H29" s="2"/>
      <c r="I29" s="2"/>
      <c r="J29" s="2"/>
    </row>
    <row r="30" spans="2:17" ht="29.25" hidden="1" customHeight="1">
      <c r="I30" s="2"/>
      <c r="J30" s="2"/>
    </row>
    <row r="31" spans="2:17" ht="15.6" hidden="1">
      <c r="B31" s="294" t="s">
        <v>13</v>
      </c>
      <c r="C31" s="295"/>
      <c r="D31" s="295"/>
      <c r="E31" s="295"/>
      <c r="F31" s="295"/>
      <c r="G31" s="295"/>
      <c r="H31" s="295"/>
      <c r="I31" s="295"/>
      <c r="J31" s="296"/>
      <c r="K31" s="202" t="s">
        <v>17</v>
      </c>
    </row>
    <row r="32" spans="2:17" ht="42" hidden="1" customHeight="1">
      <c r="B32" s="291" t="s">
        <v>21</v>
      </c>
      <c r="C32" s="292"/>
      <c r="D32" s="292"/>
      <c r="E32" s="292"/>
      <c r="F32" s="292"/>
      <c r="G32" s="292"/>
      <c r="H32" s="292"/>
      <c r="I32" s="292"/>
      <c r="J32" s="292"/>
      <c r="K32" s="293"/>
    </row>
    <row r="33" spans="2:11" s="8" customFormat="1" ht="35.25" hidden="1" customHeight="1">
      <c r="B33" s="196" t="s">
        <v>27</v>
      </c>
      <c r="C33" s="197" t="s">
        <v>28</v>
      </c>
      <c r="D33" s="198" t="s">
        <v>29</v>
      </c>
      <c r="E33" s="203" t="s">
        <v>30</v>
      </c>
      <c r="F33" s="199" t="s">
        <v>31</v>
      </c>
      <c r="G33" s="200" t="s">
        <v>32</v>
      </c>
      <c r="H33" s="201" t="s">
        <v>33</v>
      </c>
      <c r="I33" s="201" t="s">
        <v>34</v>
      </c>
      <c r="J33" s="199" t="s">
        <v>35</v>
      </c>
      <c r="K33" s="199" t="s">
        <v>36</v>
      </c>
    </row>
    <row r="34" spans="2:11" ht="164.25" hidden="1" customHeight="1">
      <c r="B34" s="60" t="s">
        <v>37</v>
      </c>
      <c r="C34" s="78"/>
      <c r="D34" s="80"/>
      <c r="E34" s="65" t="s">
        <v>40</v>
      </c>
      <c r="F34" s="81"/>
      <c r="G34" s="37"/>
      <c r="H34" s="37">
        <f t="shared" ref="H34" si="8">G34*0.15</f>
        <v>0</v>
      </c>
      <c r="I34" s="38">
        <f t="shared" ref="I34" si="9">H34*(1-0.31)</f>
        <v>0</v>
      </c>
      <c r="J34" s="39">
        <f t="shared" ref="J34" si="10">G34+I34</f>
        <v>0</v>
      </c>
      <c r="K34" s="39">
        <f t="shared" ref="K34" si="11">F34*J34</f>
        <v>0</v>
      </c>
    </row>
    <row r="35" spans="2:11" ht="37.5" hidden="1" customHeight="1">
      <c r="B35" s="42"/>
      <c r="C35" s="2"/>
      <c r="D35" s="43"/>
      <c r="F35" s="10"/>
      <c r="G35" s="44"/>
      <c r="H35" s="45"/>
      <c r="I35" s="2"/>
      <c r="J35" s="46" t="s">
        <v>24</v>
      </c>
      <c r="K35" s="47">
        <f>SUM(K34)</f>
        <v>0</v>
      </c>
    </row>
    <row r="36" spans="2:11" hidden="1"/>
    <row r="37" spans="2:11" hidden="1"/>
    <row r="38" spans="2:11" hidden="1"/>
    <row r="41" spans="2:11" ht="25.5" customHeight="1">
      <c r="J41" s="70" t="s">
        <v>24</v>
      </c>
      <c r="K41" s="71">
        <f>SUM(K28:K35)</f>
        <v>194.76775000000001</v>
      </c>
    </row>
  </sheetData>
  <protectedRanges>
    <protectedRange password="C66A" sqref="E2:I2" name="Intervallo3"/>
    <protectedRange password="C66A" sqref="B11 B9 D9:D10" name="Intervallo3_2"/>
    <protectedRange sqref="F9" name="Intervallo1" securityDescriptor="O:WDG:WDD:(A;;CC;;;WD)"/>
    <protectedRange sqref="F11" name="Intervallo2" securityDescriptor="O:WDG:WDD:(A;;CC;;;WD)"/>
    <protectedRange password="C66A" sqref="E3:I3 F8 I4 F7:I7" name="Intervallo3_1"/>
  </protectedRanges>
  <mergeCells count="16">
    <mergeCell ref="B15:C15"/>
    <mergeCell ref="G15:H15"/>
    <mergeCell ref="B32:K32"/>
    <mergeCell ref="B31:J31"/>
    <mergeCell ref="E2:I2"/>
    <mergeCell ref="E3:I3"/>
    <mergeCell ref="B9:C9"/>
    <mergeCell ref="F9:G9"/>
    <mergeCell ref="H9:I9"/>
    <mergeCell ref="B19:K19"/>
    <mergeCell ref="B16:C16"/>
    <mergeCell ref="G16:H16"/>
    <mergeCell ref="B17:D17"/>
    <mergeCell ref="F17:H17"/>
    <mergeCell ref="B20:J20"/>
    <mergeCell ref="B21:K21"/>
  </mergeCells>
  <hyperlinks>
    <hyperlink ref="C23" r:id="rId1" xr:uid="{FB7E4660-9311-4224-A4E5-5BF1ECEC91AD}"/>
    <hyperlink ref="C24" r:id="rId2" xr:uid="{33062523-3DE7-4D76-978E-DB55AAA16208}"/>
    <hyperlink ref="C25" r:id="rId3" xr:uid="{4AA1459E-6DAB-4A8B-9B63-77933ACEE805}"/>
    <hyperlink ref="C26" r:id="rId4" xr:uid="{C0A204BC-3ADA-4CC9-B857-497749AE1738}"/>
    <hyperlink ref="C27" r:id="rId5" xr:uid="{7CB41E8E-9F50-48F6-ACBA-847E92B2172E}"/>
    <hyperlink ref="B21:K21" r:id="rId6" display="  ST 5313 - RAPPORTO DI LAVORO N°: 0155963 DEL 19/05/26 " xr:uid="{7811DC70-2F2F-4C7A-A4F5-ADBDD6671831}"/>
  </hyperlinks>
  <pageMargins left="1" right="1" top="1" bottom="1" header="0.5" footer="0.5"/>
  <pageSetup paperSize="9" scale="2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2A37-F4CB-4041-9993-082A467D7334}">
  <sheetPr>
    <tabColor rgb="FF00B050"/>
  </sheetPr>
  <dimension ref="A2:Q80"/>
  <sheetViews>
    <sheetView topLeftCell="A21" zoomScale="70" zoomScaleNormal="70" workbookViewId="0">
      <selection activeCell="B21" sqref="B21:K21"/>
    </sheetView>
  </sheetViews>
  <sheetFormatPr defaultColWidth="9.140625" defaultRowHeight="13.15"/>
  <cols>
    <col min="1" max="1" width="9.140625" style="2"/>
    <col min="2" max="2" width="10.140625" style="1" customWidth="1"/>
    <col min="3" max="3" width="47.7109375" style="1" customWidth="1"/>
    <col min="4" max="4" width="54" style="2" customWidth="1"/>
    <col min="5" max="5" width="8.7109375" style="9" customWidth="1"/>
    <col min="6" max="6" width="15.42578125" style="4" bestFit="1" customWidth="1"/>
    <col min="7" max="7" width="16" style="10" customWidth="1"/>
    <col min="8" max="8" width="17.140625" style="10" customWidth="1"/>
    <col min="9" max="9" width="13.42578125" style="4" bestFit="1" customWidth="1"/>
    <col min="10" max="10" width="17" style="4" customWidth="1"/>
    <col min="11" max="11" width="18.42578125" style="2" customWidth="1"/>
    <col min="12" max="13" width="9.140625" style="2"/>
    <col min="14" max="14" width="12.7109375" style="2" bestFit="1" customWidth="1"/>
    <col min="15" max="15" width="9.140625" style="2"/>
    <col min="16" max="16" width="14.28515625" style="2" bestFit="1" customWidth="1"/>
    <col min="17" max="17" width="9.42578125" style="2" bestFit="1" customWidth="1"/>
    <col min="18" max="16384" width="9.140625" style="2"/>
  </cols>
  <sheetData>
    <row r="2" spans="1:10" ht="13.9">
      <c r="A2" s="85"/>
      <c r="B2" s="136"/>
      <c r="C2" s="136"/>
      <c r="D2" s="85"/>
      <c r="E2" s="308"/>
      <c r="F2" s="308"/>
      <c r="G2" s="308"/>
      <c r="H2" s="308"/>
      <c r="I2" s="308"/>
    </row>
    <row r="3" spans="1:10" ht="13.9">
      <c r="A3" s="85"/>
      <c r="B3" s="136"/>
      <c r="C3" s="136"/>
      <c r="D3" s="85"/>
      <c r="E3" s="309" t="s">
        <v>0</v>
      </c>
      <c r="F3" s="309"/>
      <c r="G3" s="309"/>
      <c r="H3" s="309"/>
      <c r="I3" s="309"/>
    </row>
    <row r="4" spans="1:10" ht="13.5" customHeight="1">
      <c r="A4" s="85"/>
      <c r="B4" s="136"/>
      <c r="C4" s="136"/>
      <c r="D4" s="85"/>
      <c r="E4" s="130"/>
      <c r="F4" s="139"/>
      <c r="G4" s="139"/>
      <c r="H4" s="139"/>
      <c r="I4" s="139"/>
    </row>
    <row r="5" spans="1:10" ht="13.9">
      <c r="A5" s="85"/>
      <c r="B5" s="136"/>
      <c r="C5" s="136"/>
      <c r="D5" s="85"/>
      <c r="E5" s="140"/>
      <c r="F5" s="139"/>
      <c r="G5" s="139"/>
      <c r="H5" s="139"/>
      <c r="I5" s="139"/>
    </row>
    <row r="6" spans="1:10" ht="13.9">
      <c r="A6" s="85"/>
      <c r="B6" s="136"/>
      <c r="C6" s="136"/>
      <c r="D6" s="85"/>
      <c r="E6" s="140"/>
      <c r="F6" s="139"/>
      <c r="G6" s="139"/>
      <c r="H6" s="139"/>
      <c r="I6" s="139"/>
    </row>
    <row r="7" spans="1:10" ht="13.9">
      <c r="A7" s="85"/>
      <c r="B7" s="136"/>
      <c r="C7" s="136"/>
      <c r="D7" s="85"/>
      <c r="E7" s="140"/>
      <c r="F7" s="139"/>
      <c r="G7" s="139"/>
      <c r="H7" s="139"/>
      <c r="I7" s="139"/>
    </row>
    <row r="8" spans="1:10" ht="13.9">
      <c r="A8" s="85"/>
      <c r="B8" s="136"/>
      <c r="C8" s="136"/>
      <c r="D8" s="85"/>
      <c r="E8" s="130"/>
      <c r="F8" s="138"/>
      <c r="G8" s="131"/>
      <c r="H8" s="131"/>
      <c r="I8" s="141"/>
    </row>
    <row r="9" spans="1:10" ht="15.6">
      <c r="A9" s="85"/>
      <c r="B9" s="310" t="s">
        <v>1</v>
      </c>
      <c r="C9" s="310"/>
      <c r="D9" s="138"/>
      <c r="E9" s="142" t="s">
        <v>2</v>
      </c>
      <c r="F9" s="310" t="s">
        <v>3</v>
      </c>
      <c r="G9" s="310"/>
      <c r="H9" s="311" t="s">
        <v>4</v>
      </c>
      <c r="I9" s="311"/>
    </row>
    <row r="10" spans="1:10" ht="13.9">
      <c r="A10" s="85"/>
      <c r="B10" s="143"/>
      <c r="C10" s="137"/>
      <c r="D10" s="138"/>
      <c r="E10" s="143"/>
      <c r="F10" s="143"/>
      <c r="G10" s="144"/>
      <c r="H10" s="144"/>
      <c r="I10" s="145"/>
    </row>
    <row r="11" spans="1:10" ht="13.9">
      <c r="A11" s="85"/>
      <c r="B11" s="146"/>
      <c r="C11" s="136"/>
      <c r="D11" s="85"/>
      <c r="E11" s="130"/>
      <c r="F11" s="147"/>
      <c r="G11" s="147"/>
      <c r="H11" s="147"/>
      <c r="I11" s="147"/>
    </row>
    <row r="12" spans="1:10" ht="13.9">
      <c r="A12" s="85"/>
      <c r="B12" s="148"/>
      <c r="C12" s="148"/>
      <c r="D12" s="149"/>
      <c r="E12" s="150"/>
      <c r="F12" s="150"/>
      <c r="G12" s="151"/>
      <c r="H12" s="151"/>
      <c r="I12" s="152"/>
    </row>
    <row r="13" spans="1:10" ht="15.6">
      <c r="A13" s="85"/>
      <c r="B13" s="153" t="s">
        <v>5</v>
      </c>
      <c r="C13" s="154">
        <v>46174</v>
      </c>
      <c r="D13" s="149"/>
      <c r="E13" s="150"/>
      <c r="F13" s="150"/>
      <c r="G13" s="155"/>
      <c r="H13" s="155"/>
      <c r="I13" s="156"/>
    </row>
    <row r="14" spans="1:10" ht="13.9">
      <c r="A14" s="85"/>
      <c r="B14" s="136"/>
      <c r="C14" s="136"/>
      <c r="D14" s="85"/>
      <c r="E14" s="130"/>
      <c r="F14" s="141"/>
      <c r="G14" s="131"/>
      <c r="H14" s="155"/>
      <c r="I14" s="141"/>
    </row>
    <row r="15" spans="1:10" ht="15.6">
      <c r="A15" s="85"/>
      <c r="B15" s="305" t="s">
        <v>6</v>
      </c>
      <c r="C15" s="305"/>
      <c r="D15" s="157"/>
      <c r="E15" s="158"/>
      <c r="F15" s="159" t="s">
        <v>7</v>
      </c>
      <c r="G15" s="306">
        <v>46174</v>
      </c>
      <c r="H15" s="307"/>
      <c r="I15" s="160"/>
      <c r="J15" s="2"/>
    </row>
    <row r="16" spans="1:10" ht="17.45">
      <c r="A16" s="85"/>
      <c r="B16" s="305" t="s">
        <v>57</v>
      </c>
      <c r="C16" s="305"/>
      <c r="D16" s="161"/>
      <c r="E16" s="158"/>
      <c r="F16" s="159" t="s">
        <v>9</v>
      </c>
      <c r="G16" s="312"/>
      <c r="H16" s="313"/>
      <c r="I16" s="162"/>
      <c r="J16" s="2"/>
    </row>
    <row r="17" spans="1:17" ht="16.5" customHeight="1">
      <c r="A17" s="85"/>
      <c r="B17" s="305" t="s">
        <v>10</v>
      </c>
      <c r="C17" s="305"/>
      <c r="D17" s="305"/>
      <c r="E17" s="130"/>
      <c r="F17" s="314" t="s">
        <v>11</v>
      </c>
      <c r="G17" s="315"/>
      <c r="H17" s="316"/>
      <c r="I17" s="85"/>
      <c r="J17" s="2"/>
    </row>
    <row r="18" spans="1:17" ht="17.45">
      <c r="A18" s="85"/>
      <c r="B18" s="163"/>
      <c r="C18" s="163"/>
      <c r="D18" s="161"/>
      <c r="E18" s="130"/>
      <c r="F18" s="136"/>
      <c r="G18" s="136"/>
      <c r="H18" s="136"/>
      <c r="I18" s="85"/>
      <c r="J18" s="2"/>
    </row>
    <row r="19" spans="1:17" ht="18" customHeight="1">
      <c r="B19" s="300" t="s">
        <v>58</v>
      </c>
      <c r="C19" s="300"/>
      <c r="D19" s="300"/>
      <c r="E19" s="300"/>
      <c r="F19" s="300"/>
      <c r="G19" s="300"/>
      <c r="H19" s="300"/>
      <c r="I19" s="300"/>
      <c r="J19" s="300"/>
      <c r="K19" s="300"/>
    </row>
    <row r="20" spans="1:17" ht="24" customHeight="1">
      <c r="B20" s="273" t="s">
        <v>13</v>
      </c>
      <c r="C20" s="274"/>
      <c r="D20" s="274"/>
      <c r="E20" s="274"/>
      <c r="F20" s="274"/>
      <c r="G20" s="274"/>
      <c r="H20" s="274"/>
      <c r="I20" s="274"/>
      <c r="J20" s="275"/>
      <c r="K20" s="48" t="s">
        <v>17</v>
      </c>
    </row>
    <row r="21" spans="1:17" ht="36.75" customHeight="1">
      <c r="B21" s="317" t="s">
        <v>59</v>
      </c>
      <c r="C21" s="318"/>
      <c r="D21" s="318"/>
      <c r="E21" s="318"/>
      <c r="F21" s="318"/>
      <c r="G21" s="318"/>
      <c r="H21" s="318"/>
      <c r="I21" s="318"/>
      <c r="J21" s="318"/>
      <c r="K21" s="319"/>
    </row>
    <row r="22" spans="1:17" s="8" customFormat="1" ht="40.5" customHeight="1">
      <c r="B22" s="31" t="s">
        <v>27</v>
      </c>
      <c r="C22" s="32" t="s">
        <v>28</v>
      </c>
      <c r="D22" s="33" t="s">
        <v>29</v>
      </c>
      <c r="E22" s="34" t="s">
        <v>30</v>
      </c>
      <c r="F22" s="34" t="s">
        <v>31</v>
      </c>
      <c r="G22" s="35" t="s">
        <v>32</v>
      </c>
      <c r="H22" s="36" t="s">
        <v>33</v>
      </c>
      <c r="I22" s="36" t="s">
        <v>34</v>
      </c>
      <c r="J22" s="34" t="s">
        <v>35</v>
      </c>
      <c r="K22" s="34" t="s">
        <v>36</v>
      </c>
    </row>
    <row r="23" spans="1:17" ht="164.25" customHeight="1">
      <c r="A23" s="85"/>
      <c r="B23" s="86" t="s">
        <v>37</v>
      </c>
      <c r="C23" s="230" t="s">
        <v>60</v>
      </c>
      <c r="D23" s="88" t="s">
        <v>61</v>
      </c>
      <c r="E23" s="88" t="s">
        <v>40</v>
      </c>
      <c r="F23" s="104">
        <v>4</v>
      </c>
      <c r="G23" s="91">
        <v>74.650000000000006</v>
      </c>
      <c r="H23" s="91">
        <f t="shared" ref="H23:H33" si="0">G23*0.15</f>
        <v>11.1975</v>
      </c>
      <c r="I23" s="92">
        <f t="shared" ref="I23:I33" si="1">H23*(1-0.31)</f>
        <v>7.7262749999999993</v>
      </c>
      <c r="J23" s="93">
        <f t="shared" ref="J23:J33" si="2">G23+I23</f>
        <v>82.376275000000007</v>
      </c>
      <c r="K23" s="93">
        <f t="shared" ref="K23:K33" si="3">F23*J23</f>
        <v>329.50510000000003</v>
      </c>
      <c r="M23" s="40">
        <f>G23*0.15</f>
        <v>11.1975</v>
      </c>
      <c r="N23" s="40">
        <f>M23*(1-0.31)</f>
        <v>7.7262749999999993</v>
      </c>
      <c r="O23" s="40">
        <f>G23+N23</f>
        <v>82.376275000000007</v>
      </c>
      <c r="P23" s="41"/>
      <c r="Q23" s="41"/>
    </row>
    <row r="24" spans="1:17" ht="160.5" hidden="1" customHeight="1">
      <c r="A24" s="85"/>
      <c r="B24" s="94" t="s">
        <v>37</v>
      </c>
      <c r="C24" s="204"/>
      <c r="D24" s="87"/>
      <c r="E24" s="87" t="s">
        <v>40</v>
      </c>
      <c r="F24" s="89"/>
      <c r="G24" s="96"/>
      <c r="H24" s="97">
        <f t="shared" si="0"/>
        <v>0</v>
      </c>
      <c r="I24" s="98">
        <f t="shared" si="1"/>
        <v>0</v>
      </c>
      <c r="J24" s="99">
        <f t="shared" si="2"/>
        <v>0</v>
      </c>
      <c r="K24" s="100">
        <f t="shared" si="3"/>
        <v>0</v>
      </c>
    </row>
    <row r="25" spans="1:17" ht="160.5" hidden="1" customHeight="1">
      <c r="A25" s="85"/>
      <c r="B25" s="94" t="s">
        <v>37</v>
      </c>
      <c r="C25" s="208"/>
      <c r="D25" s="207"/>
      <c r="E25" s="87" t="s">
        <v>40</v>
      </c>
      <c r="F25" s="89"/>
      <c r="G25" s="90"/>
      <c r="H25" s="97">
        <f t="shared" si="0"/>
        <v>0</v>
      </c>
      <c r="I25" s="97">
        <f t="shared" si="1"/>
        <v>0</v>
      </c>
      <c r="J25" s="101">
        <f t="shared" si="2"/>
        <v>0</v>
      </c>
      <c r="K25" s="102">
        <f t="shared" si="3"/>
        <v>0</v>
      </c>
    </row>
    <row r="26" spans="1:17" ht="160.5" hidden="1" customHeight="1">
      <c r="A26" s="85"/>
      <c r="B26" s="94" t="s">
        <v>37</v>
      </c>
      <c r="C26" s="206"/>
      <c r="D26" s="103"/>
      <c r="E26" s="87" t="s">
        <v>40</v>
      </c>
      <c r="F26" s="104"/>
      <c r="G26" s="91"/>
      <c r="H26" s="92">
        <f t="shared" si="0"/>
        <v>0</v>
      </c>
      <c r="I26" s="92">
        <f t="shared" si="1"/>
        <v>0</v>
      </c>
      <c r="J26" s="105">
        <f t="shared" si="2"/>
        <v>0</v>
      </c>
      <c r="K26" s="93">
        <f t="shared" si="3"/>
        <v>0</v>
      </c>
    </row>
    <row r="27" spans="1:17" ht="160.5" hidden="1" customHeight="1">
      <c r="A27" s="85"/>
      <c r="B27" s="94" t="s">
        <v>37</v>
      </c>
      <c r="C27" s="205"/>
      <c r="D27" s="106"/>
      <c r="E27" s="87" t="s">
        <v>54</v>
      </c>
      <c r="F27" s="107"/>
      <c r="G27" s="108"/>
      <c r="H27" s="109">
        <f>G27*0.15</f>
        <v>0</v>
      </c>
      <c r="I27" s="109">
        <f>H27*(1-0.31)</f>
        <v>0</v>
      </c>
      <c r="J27" s="110">
        <f>G27+I27</f>
        <v>0</v>
      </c>
      <c r="K27" s="111">
        <f>F27*J27</f>
        <v>0</v>
      </c>
    </row>
    <row r="28" spans="1:17" ht="160.5" hidden="1" customHeight="1">
      <c r="A28" s="85"/>
      <c r="B28" s="94" t="s">
        <v>37</v>
      </c>
      <c r="C28" s="112"/>
      <c r="D28" s="113"/>
      <c r="E28" s="87" t="s">
        <v>40</v>
      </c>
      <c r="F28" s="114"/>
      <c r="G28" s="115"/>
      <c r="H28" s="116">
        <f>G28*0.15</f>
        <v>0</v>
      </c>
      <c r="I28" s="116">
        <f>H28*(1-0.31)</f>
        <v>0</v>
      </c>
      <c r="J28" s="110">
        <f>G28+I28</f>
        <v>0</v>
      </c>
      <c r="K28" s="117">
        <f>F28*J28</f>
        <v>0</v>
      </c>
    </row>
    <row r="29" spans="1:17" ht="160.5" hidden="1" customHeight="1">
      <c r="A29" s="85"/>
      <c r="B29" s="94" t="s">
        <v>37</v>
      </c>
      <c r="C29" s="50"/>
      <c r="D29" s="113"/>
      <c r="E29" s="87" t="s">
        <v>40</v>
      </c>
      <c r="F29" s="107"/>
      <c r="G29" s="108"/>
      <c r="H29" s="109">
        <f t="shared" si="0"/>
        <v>0</v>
      </c>
      <c r="I29" s="109">
        <f t="shared" si="1"/>
        <v>0</v>
      </c>
      <c r="J29" s="110">
        <f t="shared" si="2"/>
        <v>0</v>
      </c>
      <c r="K29" s="111">
        <f t="shared" si="3"/>
        <v>0</v>
      </c>
    </row>
    <row r="30" spans="1:17" ht="160.5" hidden="1" customHeight="1">
      <c r="A30" s="85"/>
      <c r="B30" s="94" t="s">
        <v>37</v>
      </c>
      <c r="C30" s="118"/>
      <c r="D30" s="87"/>
      <c r="E30" s="87" t="s">
        <v>54</v>
      </c>
      <c r="F30" s="107"/>
      <c r="G30" s="108"/>
      <c r="H30" s="109">
        <f t="shared" si="0"/>
        <v>0</v>
      </c>
      <c r="I30" s="109">
        <f t="shared" si="1"/>
        <v>0</v>
      </c>
      <c r="J30" s="110">
        <f t="shared" si="2"/>
        <v>0</v>
      </c>
      <c r="K30" s="111">
        <f t="shared" si="3"/>
        <v>0</v>
      </c>
    </row>
    <row r="31" spans="1:17" ht="160.5" hidden="1" customHeight="1">
      <c r="A31" s="85"/>
      <c r="B31" s="94" t="s">
        <v>37</v>
      </c>
      <c r="C31" s="119"/>
      <c r="D31" s="106"/>
      <c r="E31" s="87" t="s">
        <v>40</v>
      </c>
      <c r="F31" s="107"/>
      <c r="G31" s="108"/>
      <c r="H31" s="109">
        <f t="shared" si="0"/>
        <v>0</v>
      </c>
      <c r="I31" s="109">
        <f t="shared" si="1"/>
        <v>0</v>
      </c>
      <c r="J31" s="110">
        <f t="shared" si="2"/>
        <v>0</v>
      </c>
      <c r="K31" s="111">
        <f t="shared" si="3"/>
        <v>0</v>
      </c>
    </row>
    <row r="32" spans="1:17" ht="160.5" hidden="1" customHeight="1">
      <c r="A32" s="85"/>
      <c r="B32" s="94" t="s">
        <v>37</v>
      </c>
      <c r="C32" s="120"/>
      <c r="D32" s="121"/>
      <c r="E32" s="122" t="s">
        <v>40</v>
      </c>
      <c r="F32" s="123"/>
      <c r="G32" s="124"/>
      <c r="H32" s="97">
        <f t="shared" si="0"/>
        <v>0</v>
      </c>
      <c r="I32" s="97">
        <f t="shared" si="1"/>
        <v>0</v>
      </c>
      <c r="J32" s="101">
        <f t="shared" si="2"/>
        <v>0</v>
      </c>
      <c r="K32" s="102">
        <f t="shared" si="3"/>
        <v>0</v>
      </c>
    </row>
    <row r="33" spans="1:17" ht="160.5" hidden="1" customHeight="1">
      <c r="A33" s="85"/>
      <c r="B33" s="94" t="s">
        <v>37</v>
      </c>
      <c r="C33" s="193"/>
      <c r="D33" s="88"/>
      <c r="E33" s="88" t="s">
        <v>54</v>
      </c>
      <c r="F33" s="104"/>
      <c r="G33" s="91"/>
      <c r="H33" s="92">
        <f t="shared" si="0"/>
        <v>0</v>
      </c>
      <c r="I33" s="92">
        <f t="shared" si="1"/>
        <v>0</v>
      </c>
      <c r="J33" s="105">
        <f t="shared" si="2"/>
        <v>0</v>
      </c>
      <c r="K33" s="93">
        <f t="shared" si="3"/>
        <v>0</v>
      </c>
    </row>
    <row r="34" spans="1:17" ht="160.5" hidden="1" customHeight="1">
      <c r="A34" s="85"/>
      <c r="B34" s="94" t="s">
        <v>37</v>
      </c>
      <c r="C34" s="193"/>
      <c r="D34" s="88"/>
      <c r="E34" s="88" t="s">
        <v>54</v>
      </c>
      <c r="F34" s="104"/>
      <c r="G34" s="91"/>
      <c r="H34" s="92">
        <f>G34*0.15</f>
        <v>0</v>
      </c>
      <c r="I34" s="92">
        <f t="shared" ref="I34" si="4">H34*(1-0.31)</f>
        <v>0</v>
      </c>
      <c r="J34" s="105">
        <f t="shared" ref="J34" si="5">G34+I34</f>
        <v>0</v>
      </c>
      <c r="K34" s="93">
        <f t="shared" ref="K34" si="6">F34*J34</f>
        <v>0</v>
      </c>
    </row>
    <row r="35" spans="1:17" ht="160.5" hidden="1" customHeight="1">
      <c r="A35" s="85"/>
      <c r="B35" s="125" t="s">
        <v>37</v>
      </c>
      <c r="C35" s="61"/>
      <c r="D35" s="87"/>
      <c r="E35" s="87" t="s">
        <v>54</v>
      </c>
      <c r="F35" s="89"/>
      <c r="G35" s="90"/>
      <c r="H35" s="98">
        <f t="shared" ref="H35" si="7">G35*0.15</f>
        <v>0</v>
      </c>
      <c r="I35" s="98">
        <f t="shared" ref="I35" si="8">H35*(1-0.31)</f>
        <v>0</v>
      </c>
      <c r="J35" s="126">
        <f t="shared" ref="J35" si="9">G35+I35</f>
        <v>0</v>
      </c>
      <c r="K35" s="100">
        <f t="shared" ref="K35" si="10">F35*J35</f>
        <v>0</v>
      </c>
    </row>
    <row r="36" spans="1:17" ht="160.5" hidden="1" customHeight="1">
      <c r="A36" s="85"/>
      <c r="B36" s="127" t="s">
        <v>37</v>
      </c>
      <c r="C36" s="118"/>
      <c r="D36" s="88"/>
      <c r="E36" s="88"/>
      <c r="F36" s="104"/>
      <c r="G36" s="91"/>
      <c r="H36" s="92"/>
      <c r="I36" s="92"/>
      <c r="J36" s="105"/>
      <c r="K36" s="93"/>
    </row>
    <row r="37" spans="1:17" ht="30" customHeight="1">
      <c r="A37" s="85"/>
      <c r="B37" s="128"/>
      <c r="C37" s="85"/>
      <c r="D37" s="129"/>
      <c r="E37" s="130"/>
      <c r="F37" s="131"/>
      <c r="G37" s="132"/>
      <c r="H37" s="133"/>
      <c r="I37" s="85"/>
      <c r="J37" s="134" t="s">
        <v>24</v>
      </c>
      <c r="K37" s="135">
        <f>SUM(K23:K32)</f>
        <v>329.50510000000003</v>
      </c>
    </row>
    <row r="38" spans="1:17" ht="30" customHeight="1">
      <c r="B38" s="2"/>
      <c r="C38" s="2"/>
      <c r="E38" s="2"/>
      <c r="F38" s="2"/>
      <c r="G38" s="2"/>
      <c r="H38" s="2"/>
      <c r="I38" s="2"/>
      <c r="J38" s="2"/>
    </row>
    <row r="39" spans="1:17" ht="29.25" hidden="1" customHeight="1">
      <c r="A39" s="85"/>
      <c r="B39" s="136"/>
      <c r="C39" s="136"/>
      <c r="D39" s="85"/>
      <c r="E39" s="130"/>
      <c r="F39" s="141"/>
      <c r="G39" s="131"/>
      <c r="H39" s="131"/>
      <c r="I39" s="85"/>
      <c r="J39" s="85"/>
      <c r="K39" s="85"/>
      <c r="L39" s="85"/>
    </row>
    <row r="40" spans="1:17" ht="13.9" hidden="1">
      <c r="A40" s="85"/>
      <c r="B40" s="136"/>
      <c r="C40" s="136"/>
      <c r="D40" s="85"/>
      <c r="E40" s="130"/>
      <c r="F40" s="141"/>
      <c r="G40" s="131"/>
      <c r="H40" s="131"/>
      <c r="I40" s="141"/>
      <c r="J40" s="141"/>
      <c r="K40" s="85"/>
      <c r="L40" s="85"/>
    </row>
    <row r="41" spans="1:17" ht="42" hidden="1" customHeight="1">
      <c r="A41" s="85"/>
      <c r="B41" s="304" t="s">
        <v>23</v>
      </c>
      <c r="C41" s="304"/>
      <c r="D41" s="304"/>
      <c r="E41" s="304"/>
      <c r="F41" s="304"/>
      <c r="G41" s="304"/>
      <c r="H41" s="304"/>
      <c r="I41" s="304"/>
      <c r="J41" s="304"/>
      <c r="K41" s="304"/>
      <c r="L41" s="85"/>
    </row>
    <row r="42" spans="1:17" s="8" customFormat="1" ht="35.25" hidden="1" customHeight="1">
      <c r="A42" s="140"/>
      <c r="B42" s="164" t="s">
        <v>27</v>
      </c>
      <c r="C42" s="165" t="s">
        <v>28</v>
      </c>
      <c r="D42" s="166" t="s">
        <v>29</v>
      </c>
      <c r="E42" s="167" t="s">
        <v>30</v>
      </c>
      <c r="F42" s="167" t="s">
        <v>31</v>
      </c>
      <c r="G42" s="168" t="s">
        <v>32</v>
      </c>
      <c r="H42" s="169" t="s">
        <v>33</v>
      </c>
      <c r="I42" s="169" t="s">
        <v>34</v>
      </c>
      <c r="J42" s="167" t="s">
        <v>35</v>
      </c>
      <c r="K42" s="167" t="s">
        <v>36</v>
      </c>
      <c r="L42" s="140"/>
    </row>
    <row r="43" spans="1:17" ht="162" hidden="1" customHeight="1">
      <c r="A43" s="85"/>
      <c r="B43" s="125" t="s">
        <v>37</v>
      </c>
      <c r="C43" s="118"/>
      <c r="D43" s="88"/>
      <c r="E43" s="170" t="s">
        <v>54</v>
      </c>
      <c r="F43" s="171"/>
      <c r="G43" s="124"/>
      <c r="H43" s="172">
        <f t="shared" ref="H43:H48" si="11">G43*0.15</f>
        <v>0</v>
      </c>
      <c r="I43" s="173">
        <f t="shared" ref="I43:I48" si="12">H43*(1-0.31)</f>
        <v>0</v>
      </c>
      <c r="J43" s="174">
        <f t="shared" ref="J43:J48" si="13">G43+I43</f>
        <v>0</v>
      </c>
      <c r="K43" s="174">
        <f t="shared" ref="K43:K48" si="14">F43*J43</f>
        <v>0</v>
      </c>
      <c r="L43" s="85"/>
      <c r="M43" s="40">
        <f>G43*0.15</f>
        <v>0</v>
      </c>
      <c r="N43" s="40">
        <f>M43*(1-0.31)</f>
        <v>0</v>
      </c>
      <c r="O43" s="40">
        <f>G43+N43</f>
        <v>0</v>
      </c>
      <c r="P43" s="41"/>
      <c r="Q43" s="41"/>
    </row>
    <row r="44" spans="1:17" ht="162" hidden="1" customHeight="1">
      <c r="A44" s="85"/>
      <c r="B44" s="125" t="s">
        <v>37</v>
      </c>
      <c r="C44" s="120"/>
      <c r="D44" s="103"/>
      <c r="E44" s="170" t="s">
        <v>40</v>
      </c>
      <c r="F44" s="171"/>
      <c r="G44" s="90"/>
      <c r="H44" s="172">
        <f t="shared" si="11"/>
        <v>0</v>
      </c>
      <c r="I44" s="173">
        <f t="shared" si="12"/>
        <v>0</v>
      </c>
      <c r="J44" s="174">
        <f t="shared" si="13"/>
        <v>0</v>
      </c>
      <c r="K44" s="174">
        <f t="shared" si="14"/>
        <v>0</v>
      </c>
      <c r="L44" s="85"/>
      <c r="M44" s="40"/>
      <c r="N44" s="40"/>
      <c r="O44" s="40"/>
      <c r="P44" s="41"/>
      <c r="Q44" s="41"/>
    </row>
    <row r="45" spans="1:17" ht="162" hidden="1" customHeight="1">
      <c r="A45" s="85"/>
      <c r="B45" s="175" t="s">
        <v>37</v>
      </c>
      <c r="C45" s="118"/>
      <c r="D45" s="88"/>
      <c r="E45" s="88" t="s">
        <v>40</v>
      </c>
      <c r="F45" s="104"/>
      <c r="G45" s="91"/>
      <c r="H45" s="176">
        <f t="shared" si="11"/>
        <v>0</v>
      </c>
      <c r="I45" s="177">
        <f t="shared" si="12"/>
        <v>0</v>
      </c>
      <c r="J45" s="178">
        <f t="shared" si="13"/>
        <v>0</v>
      </c>
      <c r="K45" s="178">
        <f t="shared" si="14"/>
        <v>0</v>
      </c>
      <c r="L45" s="85"/>
      <c r="M45" s="40"/>
      <c r="N45" s="40"/>
      <c r="O45" s="40"/>
      <c r="P45" s="41"/>
      <c r="Q45" s="41"/>
    </row>
    <row r="46" spans="1:17" ht="162" hidden="1" customHeight="1">
      <c r="A46" s="85"/>
      <c r="B46" s="179" t="s">
        <v>37</v>
      </c>
      <c r="C46" s="95"/>
      <c r="D46" s="180"/>
      <c r="E46" s="87" t="s">
        <v>54</v>
      </c>
      <c r="F46" s="89"/>
      <c r="G46" s="181"/>
      <c r="H46" s="172">
        <f t="shared" si="11"/>
        <v>0</v>
      </c>
      <c r="I46" s="173">
        <f t="shared" si="12"/>
        <v>0</v>
      </c>
      <c r="J46" s="174">
        <f t="shared" si="13"/>
        <v>0</v>
      </c>
      <c r="K46" s="174">
        <f t="shared" si="14"/>
        <v>0</v>
      </c>
      <c r="L46" s="85"/>
      <c r="M46" s="40"/>
      <c r="N46" s="40"/>
      <c r="O46" s="40"/>
      <c r="P46" s="41"/>
      <c r="Q46" s="41"/>
    </row>
    <row r="47" spans="1:17" ht="162" hidden="1" customHeight="1">
      <c r="A47" s="85"/>
      <c r="B47" s="175" t="s">
        <v>37</v>
      </c>
      <c r="C47" s="118"/>
      <c r="D47" s="88"/>
      <c r="E47" s="88" t="s">
        <v>40</v>
      </c>
      <c r="F47" s="104"/>
      <c r="G47" s="91"/>
      <c r="H47" s="176">
        <f t="shared" si="11"/>
        <v>0</v>
      </c>
      <c r="I47" s="177">
        <f t="shared" si="12"/>
        <v>0</v>
      </c>
      <c r="J47" s="178">
        <f t="shared" si="13"/>
        <v>0</v>
      </c>
      <c r="K47" s="178">
        <f t="shared" si="14"/>
        <v>0</v>
      </c>
      <c r="L47" s="85"/>
      <c r="M47" s="40"/>
      <c r="N47" s="40"/>
      <c r="O47" s="40"/>
      <c r="P47" s="41"/>
      <c r="Q47" s="41"/>
    </row>
    <row r="48" spans="1:17" ht="162" hidden="1" customHeight="1">
      <c r="A48" s="85"/>
      <c r="B48" s="175" t="s">
        <v>37</v>
      </c>
      <c r="C48" s="182"/>
      <c r="D48" s="113"/>
      <c r="E48" s="88" t="s">
        <v>54</v>
      </c>
      <c r="F48" s="104"/>
      <c r="G48" s="91"/>
      <c r="H48" s="176">
        <f t="shared" si="11"/>
        <v>0</v>
      </c>
      <c r="I48" s="177">
        <f t="shared" si="12"/>
        <v>0</v>
      </c>
      <c r="J48" s="178">
        <f t="shared" si="13"/>
        <v>0</v>
      </c>
      <c r="K48" s="178">
        <f t="shared" si="14"/>
        <v>0</v>
      </c>
      <c r="L48" s="85"/>
      <c r="M48" s="40"/>
      <c r="N48" s="40"/>
      <c r="O48" s="40"/>
      <c r="P48" s="41"/>
      <c r="Q48" s="41"/>
    </row>
    <row r="49" spans="1:12" ht="37.5" hidden="1" customHeight="1">
      <c r="A49" s="85"/>
      <c r="B49" s="128"/>
      <c r="C49" s="183"/>
      <c r="D49" s="129"/>
      <c r="E49" s="130"/>
      <c r="F49" s="131"/>
      <c r="G49" s="132"/>
      <c r="H49" s="133"/>
      <c r="I49" s="85"/>
      <c r="J49" s="134" t="s">
        <v>24</v>
      </c>
      <c r="K49" s="135">
        <f>SUM(K43:K48)</f>
        <v>0</v>
      </c>
      <c r="L49" s="85"/>
    </row>
    <row r="50" spans="1:12" ht="13.15" hidden="1" customHeight="1">
      <c r="A50" s="85"/>
      <c r="B50" s="136"/>
      <c r="C50" s="183"/>
      <c r="D50" s="85"/>
      <c r="E50" s="130"/>
      <c r="F50" s="141"/>
      <c r="G50" s="131"/>
      <c r="H50" s="131"/>
      <c r="I50" s="141"/>
      <c r="J50" s="141"/>
      <c r="K50" s="85"/>
      <c r="L50" s="85"/>
    </row>
    <row r="51" spans="1:12" ht="49.9" hidden="1" customHeight="1">
      <c r="A51" s="85"/>
      <c r="B51" s="136"/>
      <c r="C51" s="136"/>
      <c r="D51" s="85"/>
      <c r="E51" s="130"/>
      <c r="F51" s="141"/>
      <c r="G51" s="131"/>
      <c r="H51" s="131"/>
      <c r="I51" s="141"/>
      <c r="J51" s="141"/>
      <c r="K51" s="85"/>
      <c r="L51" s="85"/>
    </row>
    <row r="52" spans="1:12" ht="42" hidden="1" customHeight="1">
      <c r="A52" s="85"/>
      <c r="B52" s="304" t="s">
        <v>62</v>
      </c>
      <c r="C52" s="304"/>
      <c r="D52" s="304"/>
      <c r="E52" s="304"/>
      <c r="F52" s="304"/>
      <c r="G52" s="304"/>
      <c r="H52" s="304"/>
      <c r="I52" s="304"/>
      <c r="J52" s="304"/>
      <c r="K52" s="304"/>
      <c r="L52" s="85"/>
    </row>
    <row r="53" spans="1:12" s="8" customFormat="1" ht="35.25" hidden="1" customHeight="1">
      <c r="A53" s="140"/>
      <c r="B53" s="184" t="s">
        <v>27</v>
      </c>
      <c r="C53" s="167" t="s">
        <v>28</v>
      </c>
      <c r="D53" s="166" t="s">
        <v>29</v>
      </c>
      <c r="E53" s="165" t="s">
        <v>30</v>
      </c>
      <c r="F53" s="165" t="s">
        <v>31</v>
      </c>
      <c r="G53" s="185" t="s">
        <v>32</v>
      </c>
      <c r="H53" s="186" t="s">
        <v>33</v>
      </c>
      <c r="I53" s="186" t="s">
        <v>34</v>
      </c>
      <c r="J53" s="165" t="s">
        <v>35</v>
      </c>
      <c r="K53" s="165" t="s">
        <v>36</v>
      </c>
      <c r="L53" s="140"/>
    </row>
    <row r="54" spans="1:12" ht="154.9" hidden="1" customHeight="1">
      <c r="A54" s="85"/>
      <c r="B54" s="125" t="s">
        <v>37</v>
      </c>
      <c r="C54" s="182"/>
      <c r="D54" s="121"/>
      <c r="E54" s="122" t="s">
        <v>40</v>
      </c>
      <c r="F54" s="123"/>
      <c r="G54" s="187"/>
      <c r="H54" s="172">
        <f t="shared" ref="H54:H57" si="15">G54*0.15</f>
        <v>0</v>
      </c>
      <c r="I54" s="172">
        <f t="shared" ref="I54:I57" si="16">H54*(1-0.31)</f>
        <v>0</v>
      </c>
      <c r="J54" s="172">
        <f t="shared" ref="J54:J57" si="17">G54+I54</f>
        <v>0</v>
      </c>
      <c r="K54" s="172">
        <f t="shared" ref="K54:K57" si="18">F54*J54</f>
        <v>0</v>
      </c>
      <c r="L54" s="85"/>
    </row>
    <row r="55" spans="1:12" ht="154.9" hidden="1" customHeight="1">
      <c r="A55" s="85"/>
      <c r="B55" s="175" t="s">
        <v>37</v>
      </c>
      <c r="C55" s="190"/>
      <c r="D55" s="88"/>
      <c r="E55" s="88" t="s">
        <v>54</v>
      </c>
      <c r="F55" s="104"/>
      <c r="G55" s="91"/>
      <c r="H55" s="176">
        <f t="shared" si="15"/>
        <v>0</v>
      </c>
      <c r="I55" s="176">
        <f t="shared" si="16"/>
        <v>0</v>
      </c>
      <c r="J55" s="176">
        <f t="shared" si="17"/>
        <v>0</v>
      </c>
      <c r="K55" s="176">
        <f t="shared" si="18"/>
        <v>0</v>
      </c>
      <c r="L55" s="85"/>
    </row>
    <row r="56" spans="1:12" ht="154.9" hidden="1" customHeight="1">
      <c r="A56" s="85"/>
      <c r="B56" s="175" t="s">
        <v>37</v>
      </c>
      <c r="C56" s="191"/>
      <c r="D56" s="88"/>
      <c r="E56" s="88" t="s">
        <v>54</v>
      </c>
      <c r="F56" s="104"/>
      <c r="G56" s="91"/>
      <c r="H56" s="176">
        <f t="shared" si="15"/>
        <v>0</v>
      </c>
      <c r="I56" s="176">
        <f t="shared" si="16"/>
        <v>0</v>
      </c>
      <c r="J56" s="176">
        <f t="shared" si="17"/>
        <v>0</v>
      </c>
      <c r="K56" s="176">
        <f t="shared" si="18"/>
        <v>0</v>
      </c>
      <c r="L56" s="85"/>
    </row>
    <row r="57" spans="1:12" ht="154.9" hidden="1" customHeight="1">
      <c r="A57" s="85"/>
      <c r="B57" s="175" t="s">
        <v>37</v>
      </c>
      <c r="C57" s="189"/>
      <c r="D57" s="188"/>
      <c r="E57" s="88" t="s">
        <v>40</v>
      </c>
      <c r="F57" s="104"/>
      <c r="G57" s="91"/>
      <c r="H57" s="176">
        <f t="shared" si="15"/>
        <v>0</v>
      </c>
      <c r="I57" s="176">
        <f t="shared" si="16"/>
        <v>0</v>
      </c>
      <c r="J57" s="176">
        <f t="shared" si="17"/>
        <v>0</v>
      </c>
      <c r="K57" s="176">
        <f t="shared" si="18"/>
        <v>0</v>
      </c>
      <c r="L57" s="85"/>
    </row>
    <row r="58" spans="1:12" ht="25.5" hidden="1" customHeight="1">
      <c r="A58" s="85"/>
      <c r="B58" s="136"/>
      <c r="C58" s="136"/>
      <c r="D58" s="85"/>
      <c r="E58" s="130"/>
      <c r="F58" s="141"/>
      <c r="G58" s="131"/>
      <c r="H58" s="131"/>
      <c r="I58" s="141"/>
      <c r="J58" s="134" t="s">
        <v>24</v>
      </c>
      <c r="K58" s="135">
        <f>SUM(K53:K57)</f>
        <v>0</v>
      </c>
      <c r="L58" s="85"/>
    </row>
    <row r="59" spans="1:12" ht="13.9" hidden="1">
      <c r="A59" s="85"/>
      <c r="B59" s="136"/>
      <c r="C59" s="136"/>
      <c r="D59" s="85"/>
      <c r="E59" s="130"/>
      <c r="F59" s="141"/>
      <c r="G59" s="131"/>
      <c r="H59" s="131"/>
      <c r="I59" s="141"/>
      <c r="J59" s="141"/>
      <c r="K59" s="85"/>
      <c r="L59" s="85"/>
    </row>
    <row r="60" spans="1:12" ht="13.9" hidden="1">
      <c r="A60" s="85"/>
      <c r="B60" s="136"/>
      <c r="C60" s="136"/>
      <c r="D60" s="85"/>
      <c r="E60" s="130"/>
      <c r="F60" s="141"/>
      <c r="G60" s="131"/>
      <c r="H60" s="131"/>
      <c r="I60" s="141"/>
      <c r="J60" s="141"/>
      <c r="K60" s="85"/>
      <c r="L60" s="85"/>
    </row>
    <row r="63" spans="1:12" ht="27" customHeight="1">
      <c r="J63" s="70" t="s">
        <v>24</v>
      </c>
      <c r="K63" s="71">
        <f>SUM(K37,K49,K58)</f>
        <v>329.50510000000003</v>
      </c>
    </row>
    <row r="80" spans="10:10">
      <c r="J80" s="2"/>
    </row>
  </sheetData>
  <protectedRanges>
    <protectedRange password="C66A" sqref="E2:I2" name="Intervallo3"/>
    <protectedRange password="C66A" sqref="B11 B9 D9:D10" name="Intervallo3_2"/>
    <protectedRange sqref="F9" name="Intervallo1" securityDescriptor="O:WDG:WDD:(A;;CC;;;WD)"/>
    <protectedRange sqref="F11" name="Intervallo2" securityDescriptor="O:WDG:WDD:(A;;CC;;;WD)"/>
    <protectedRange password="C66A" sqref="E3:I3 F8 I4 F7:I7" name="Intervallo3_1"/>
  </protectedRanges>
  <mergeCells count="16">
    <mergeCell ref="B19:K19"/>
    <mergeCell ref="B52:K52"/>
    <mergeCell ref="B15:C15"/>
    <mergeCell ref="G15:H15"/>
    <mergeCell ref="E2:I2"/>
    <mergeCell ref="E3:I3"/>
    <mergeCell ref="B9:C9"/>
    <mergeCell ref="F9:G9"/>
    <mergeCell ref="H9:I9"/>
    <mergeCell ref="B41:K41"/>
    <mergeCell ref="B17:D17"/>
    <mergeCell ref="B16:C16"/>
    <mergeCell ref="G16:H16"/>
    <mergeCell ref="F17:H17"/>
    <mergeCell ref="B20:J20"/>
    <mergeCell ref="B21:K21"/>
  </mergeCells>
  <hyperlinks>
    <hyperlink ref="C23" r:id="rId1" xr:uid="{E2BD27C9-7116-4DF2-91CA-2406AA868731}"/>
    <hyperlink ref="B21:K21" r:id="rId2" display="RAPPORTO DI LAVORO N°: 0155973/22 DEL 15/06/2026" xr:uid="{4EFC6F5F-E985-4771-8D78-4488B1AE4311}"/>
  </hyperlinks>
  <pageMargins left="1" right="1" top="1" bottom="1" header="0.5" footer="0.5"/>
  <pageSetup paperSize="9" scale="2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VA_PG_StatoInvioCA xmlns="87994b8a-c787-467c-86ef-ad1ae42418d9">false</AVA_PG_StatoInvioCA>
    <AVA_PG_ClienteEnte xmlns="6908eeb8-3c36-4210-9307-9e951158dbeb">RAI RADIOTELEVISIONE ITALIANA SPA</AVA_PG_ClienteEnte>
    <AVA_PG_AnnoAcquisizione xmlns="87994b8a-c787-467c-86ef-ad1ae42418d9">2020</AVA_PG_AnnoAcquisizione>
    <AVA_PG_CodiceCommessa xmlns="1fc4161f-3a5a-415d-912b-31124825d917">FACI16442</AVA_PG_CodiceCommessa>
    <_Flow_SignoffStatus xmlns="dd3f85c4-4f23-4476-a43d-db21f552cb9f" xsi:nil="true"/>
    <AVA_PG_ResponsabileCommessa xmlns="31b67644-b584-4dc1-85b9-b7714bb669ec">
      <UserInfo>
        <DisplayName/>
        <AccountId xsi:nil="true"/>
        <AccountType/>
      </UserInfo>
    </AVA_PG_ResponsabileCommessa>
    <AVA_PG_Area xmlns="1fc4161f-3a5a-415d-912b-31124825d917">Nord</AVA_PG_Area>
    <AVA_PG_DescrizioneContratto xmlns="87994b8a-c787-467c-86ef-ad1ae42418d9" xsi:nil="true"/>
    <AVA_PG_Codice xmlns="6908eeb8-3c36-4210-9307-9e951158dbeb">GL03069</AVA_PG_Codice>
    <AVA_PG_TitoloGara xmlns="87994b8a-c787-467c-86ef-ad1ae42418d9">RAI - MANUT IMPIANTI ELETTRICI</AVA_PG_TitoloGara>
    <AVA_PG_NoteContratto xmlns="87994b8a-c787-467c-86ef-ad1ae42418d9" xsi:nil="true"/>
    <AVA_PG_Lotto xmlns="107f604f-3115-4c8a-809f-41a75283ef15" xsi:nil="true"/>
    <lcf76f155ced4ddcb4097134ff3c332f xmlns="dd3f85c4-4f23-4476-a43d-db21f552cb9f">
      <Terms xmlns="http://schemas.microsoft.com/office/infopath/2007/PartnerControls"/>
    </lcf76f155ced4ddcb4097134ff3c332f>
    <TaxCatchAll xmlns="31b67644-b584-4dc1-85b9-b7714bb669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i Commessa" ma:contentTypeID="0x0101005741292EF4050146ABF5EABC06890A3300D67A7C3FAB8FCD4CB36AD7FA469D0034" ma:contentTypeVersion="29" ma:contentTypeDescription="Creare un nuovo documento." ma:contentTypeScope="" ma:versionID="4c3d70f2d0dd50ac5661ea8b00f8694c">
  <xsd:schema xmlns:xsd="http://www.w3.org/2001/XMLSchema" xmlns:xs="http://www.w3.org/2001/XMLSchema" xmlns:p="http://schemas.microsoft.com/office/2006/metadata/properties" xmlns:ns2="1fc4161f-3a5a-415d-912b-31124825d917" xmlns:ns3="6908eeb8-3c36-4210-9307-9e951158dbeb" xmlns:ns4="87994b8a-c787-467c-86ef-ad1ae42418d9" xmlns:ns5="31b67644-b584-4dc1-85b9-b7714bb669ec" xmlns:ns6="dd3f85c4-4f23-4476-a43d-db21f552cb9f" xmlns:ns7="107f604f-3115-4c8a-809f-41a75283ef15" targetNamespace="http://schemas.microsoft.com/office/2006/metadata/properties" ma:root="true" ma:fieldsID="abb2073c5ec63777b56b3692a0a19b5f" ns2:_="" ns3:_="" ns4:_="" ns5:_="" ns6:_="" ns7:_="">
    <xsd:import namespace="1fc4161f-3a5a-415d-912b-31124825d917"/>
    <xsd:import namespace="6908eeb8-3c36-4210-9307-9e951158dbeb"/>
    <xsd:import namespace="87994b8a-c787-467c-86ef-ad1ae42418d9"/>
    <xsd:import namespace="31b67644-b584-4dc1-85b9-b7714bb669ec"/>
    <xsd:import namespace="dd3f85c4-4f23-4476-a43d-db21f552cb9f"/>
    <xsd:import namespace="107f604f-3115-4c8a-809f-41a75283ef15"/>
    <xsd:element name="properties">
      <xsd:complexType>
        <xsd:sequence>
          <xsd:element name="documentManagement">
            <xsd:complexType>
              <xsd:all>
                <xsd:element ref="ns2:AVA_PG_CodiceCommessa" minOccurs="0"/>
                <xsd:element ref="ns3:AVA_PG_ClienteEnte" minOccurs="0"/>
                <xsd:element ref="ns2:AVA_PG_Area" minOccurs="0"/>
                <xsd:element ref="ns4:AVA_PG_AnnoAcquisizione" minOccurs="0"/>
                <xsd:element ref="ns5:AVA_PG_ResponsabileCommessa" minOccurs="0"/>
                <xsd:element ref="ns4:AVA_PG_TitoloGara" minOccurs="0"/>
                <xsd:element ref="ns3:AVA_PG_Codice" minOccurs="0"/>
                <xsd:element ref="ns4:AVA_PG_StatoInvioCA" minOccurs="0"/>
                <xsd:element ref="ns4:AVA_PG_DescrizioneContratto" minOccurs="0"/>
                <xsd:element ref="ns4:AVA_PG_NoteContratto" minOccurs="0"/>
                <xsd:element ref="ns6:MediaServiceMetadata" minOccurs="0"/>
                <xsd:element ref="ns6:MediaServiceFastMetadata" minOccurs="0"/>
                <xsd:element ref="ns5:TaxCatchAll" minOccurs="0"/>
                <xsd:element ref="ns6:MediaServiceDateTaken" minOccurs="0"/>
                <xsd:element ref="ns6:MediaServiceGenerationTime" minOccurs="0"/>
                <xsd:element ref="ns6:MediaServiceEventHashCode" minOccurs="0"/>
                <xsd:element ref="ns6:lcf76f155ced4ddcb4097134ff3c332f" minOccurs="0"/>
                <xsd:element ref="ns6:MediaServiceOCR" minOccurs="0"/>
                <xsd:element ref="ns6:MediaLengthInSeconds" minOccurs="0"/>
                <xsd:element ref="ns6:MediaServiceLocation" minOccurs="0"/>
                <xsd:element ref="ns7:AVA_PG_Lotto" minOccurs="0"/>
                <xsd:element ref="ns6:_Flow_SignoffStatus" minOccurs="0"/>
                <xsd:element ref="ns6:MediaServiceObjectDetectorVersions" minOccurs="0"/>
                <xsd:element ref="ns6:MediaServiceSearchProperties" minOccurs="0"/>
                <xsd:element ref="ns6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c4161f-3a5a-415d-912b-31124825d917" elementFormDefault="qualified">
    <xsd:import namespace="http://schemas.microsoft.com/office/2006/documentManagement/types"/>
    <xsd:import namespace="http://schemas.microsoft.com/office/infopath/2007/PartnerControls"/>
    <xsd:element name="AVA_PG_CodiceCommessa" ma:index="8" nillable="true" ma:displayName="ID Sale" ma:internalName="AVA_PG_CodiceCommessa">
      <xsd:simpleType>
        <xsd:restriction base="dms:Text">
          <xsd:maxLength value="255"/>
        </xsd:restriction>
      </xsd:simpleType>
    </xsd:element>
    <xsd:element name="AVA_PG_Area" ma:index="10" nillable="true" ma:displayName="Area" ma:internalName="AVA_PG_Area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8eeb8-3c36-4210-9307-9e951158dbeb" elementFormDefault="qualified">
    <xsd:import namespace="http://schemas.microsoft.com/office/2006/documentManagement/types"/>
    <xsd:import namespace="http://schemas.microsoft.com/office/infopath/2007/PartnerControls"/>
    <xsd:element name="AVA_PG_ClienteEnte" ma:index="9" nillable="true" ma:displayName="Customer" ma:internalName="AVA_PG_ClienteEnte">
      <xsd:simpleType>
        <xsd:restriction base="dms:Text">
          <xsd:maxLength value="255"/>
        </xsd:restriction>
      </xsd:simpleType>
    </xsd:element>
    <xsd:element name="AVA_PG_Codice" ma:index="14" nillable="true" ma:displayName="ID Opportunity" ma:internalName="AVA_PG_Codic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94b8a-c787-467c-86ef-ad1ae42418d9" elementFormDefault="qualified">
    <xsd:import namespace="http://schemas.microsoft.com/office/2006/documentManagement/types"/>
    <xsd:import namespace="http://schemas.microsoft.com/office/infopath/2007/PartnerControls"/>
    <xsd:element name="AVA_PG_AnnoAcquisizione" ma:index="11" nillable="true" ma:displayName="Acquisition Year" ma:internalName="AVA_PG_AnnoAcquisizione">
      <xsd:simpleType>
        <xsd:restriction base="dms:Text">
          <xsd:maxLength value="255"/>
        </xsd:restriction>
      </xsd:simpleType>
    </xsd:element>
    <xsd:element name="AVA_PG_TitoloGara" ma:index="13" nillable="true" ma:displayName="Opportunity Title" ma:internalName="AVA_PG_TitoloGara">
      <xsd:simpleType>
        <xsd:restriction base="dms:Text">
          <xsd:maxLength value="255"/>
        </xsd:restriction>
      </xsd:simpleType>
    </xsd:element>
    <xsd:element name="AVA_PG_StatoInvioCA" ma:index="15" nillable="true" ma:displayName="Sent to CA" ma:default="0" ma:internalName="AVA_PG_StatoInvioCA">
      <xsd:simpleType>
        <xsd:restriction base="dms:Boolean"/>
      </xsd:simpleType>
    </xsd:element>
    <xsd:element name="AVA_PG_DescrizioneContratto" ma:index="16" nillable="true" ma:displayName="Contract Description" ma:internalName="AVA_PG_DescrizioneContratto">
      <xsd:simpleType>
        <xsd:restriction base="dms:Note">
          <xsd:maxLength value="255"/>
        </xsd:restriction>
      </xsd:simpleType>
    </xsd:element>
    <xsd:element name="AVA_PG_NoteContratto" ma:index="17" nillable="true" ma:displayName="Contract Note" ma:internalName="AVA_PG_NoteContratt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67644-b584-4dc1-85b9-b7714bb669ec" elementFormDefault="qualified">
    <xsd:import namespace="http://schemas.microsoft.com/office/2006/documentManagement/types"/>
    <xsd:import namespace="http://schemas.microsoft.com/office/infopath/2007/PartnerControls"/>
    <xsd:element name="AVA_PG_ResponsabileCommessa" ma:index="12" nillable="true" ma:displayName="Sale Manager" ma:list="UserInfo" ma:SharePointGroup="0" ma:internalName="AVA_PG_ResponsabileCommess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65805cb7-14c6-4dce-9f24-d807d4da1c41}" ma:internalName="TaxCatchAll" ma:showField="CatchAllData" ma:web="31b67644-b584-4dc1-85b9-b7714bb66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f85c4-4f23-4476-a43d-db21f552cb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319bae4-8e9b-42b3-b17a-dce6163fc6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8" nillable="true" ma:displayName="Location" ma:internalName="MediaServiceLocation" ma:readOnly="true">
      <xsd:simpleType>
        <xsd:restriction base="dms:Text"/>
      </xsd:simpleType>
    </xsd:element>
    <xsd:element name="_Flow_SignoffStatus" ma:index="30" nillable="true" ma:displayName="Sign-off status" ma:internalName="Sign_x002d_off_x0020_status">
      <xsd:simpleType>
        <xsd:restriction base="dms:Text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f604f-3115-4c8a-809f-41a75283ef15" elementFormDefault="qualified">
    <xsd:import namespace="http://schemas.microsoft.com/office/2006/documentManagement/types"/>
    <xsd:import namespace="http://schemas.microsoft.com/office/infopath/2007/PartnerControls"/>
    <xsd:element name="AVA_PG_Lotto" ma:index="29" nillable="true" ma:displayName="Lot" ma:format="Dropdown" ma:internalName="AVA_PG_Lott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343F9-4587-4B10-95E1-3757EAB580F6}"/>
</file>

<file path=customXml/itemProps2.xml><?xml version="1.0" encoding="utf-8"?>
<ds:datastoreItem xmlns:ds="http://schemas.openxmlformats.org/officeDocument/2006/customXml" ds:itemID="{74C58F71-F7AF-400D-9505-C09905A961B1}"/>
</file>

<file path=customXml/itemProps3.xml><?xml version="1.0" encoding="utf-8"?>
<ds:datastoreItem xmlns:ds="http://schemas.openxmlformats.org/officeDocument/2006/customXml" ds:itemID="{E491261F-A022-4FB2-B58C-266F07879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Rekeep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Campagnoli Ivan Luca</dc:creator>
  <cp:keywords/>
  <dc:description/>
  <cp:lastModifiedBy>Campagnoli Ivan Luca</cp:lastModifiedBy>
  <cp:revision/>
  <dcterms:created xsi:type="dcterms:W3CDTF">2026-01-28T14:37:38Z</dcterms:created>
  <dcterms:modified xsi:type="dcterms:W3CDTF">2026-06-22T12:58:06Z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0x0101005741292EF4050146ABF5EABC06890A3300D67A7C3FAB8FCD4CB36AD7FA469D0034</vt:lpwstr>
  </property>
  <property fmtid="{D5CDD505-2E9C-101B-9397-08002B2CF9AE}" pid="3" name="MediaServiceImageTags">
    <vt:lpwstr/>
  </property>
  <property fmtid="{D5CDD505-2E9C-101B-9397-08002B2CF9AE}" pid="4" name="Order">
    <vt:r8>3854300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